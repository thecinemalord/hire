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Title Inputs" sheetId="3" state="visible" r:id="rId5"/>
    <sheet name="Monthly Viewing Forecast" sheetId="4" state="visible" r:id="rId6"/>
    <sheet name="Title Economics" sheetId="5" state="visible" r:id="rId7"/>
    <sheet name="Deal Structures" sheetId="6" state="visible" r:id="rId8"/>
    <sheet name="Scenarios" sheetId="7" state="visible" r:id="rId9"/>
    <sheet name="Sensitivities" sheetId="8" state="visible" r:id="rId10"/>
    <sheet name="Executive Summary" sheetId="9" state="visible" r:id="rId11"/>
    <sheet name="QA Controls" sheetId="10" state="visible" r:id="rId12"/>
  </sheets>
  <definedNames>
    <definedName function="false" hidden="false" localSheetId="1" name="_xlnm.Print_Area" vbProcedure="false">Assumptions!$A$1:$E$49</definedName>
    <definedName function="false" hidden="false" localSheetId="8" name="_xlnm.Print_Area" vbProcedure="false">'Executive Summary'!$A$1:$E$51</definedName>
    <definedName function="false" hidden="false" localSheetId="3" name="_xlnm.Print_Area" vbProcedure="false">'Monthly Viewing Forecast'!$A$1:$AB$123</definedName>
    <definedName function="false" hidden="false" localSheetId="9" name="_xlnm.Print_Area" vbProcedure="false">'QA Controls'!$A$1:$F$24</definedName>
    <definedName function="false" hidden="false" localSheetId="0" name="_xlnm.Print_Area" vbProcedure="false">'Read Me'!$A$1:$B$56</definedName>
    <definedName function="false" hidden="false" localSheetId="6" name="_xlnm.Print_Area" vbProcedure="false">Scenarios!$A$1:$G$80</definedName>
    <definedName function="false" hidden="false" localSheetId="4" name="_xlnm.Print_Area" vbProcedure="false">'Title Economics'!$A$166:$I$194</definedName>
    <definedName function="false" hidden="false" localSheetId="2" name="_xlnm.Print_Area" vbProcedure="false">'Title Inputs'!$A$1:$H$42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<sst xmlns="http://schemas.openxmlformats.org/spreadsheetml/2006/main" count="961" uniqueCount="463">
  <si>
    <t xml:space="preserve">PROJECT NIGHTFALL</t>
  </si>
  <si>
    <t xml:space="preserve">AVOD content acquisition valuation model</t>
  </si>
  <si>
    <t xml:space="preserve">Prepared by Tanmay Srivastava</t>
  </si>
  <si>
    <t xml:space="preserve">Independent analytical case study using synthetic assumptions. Not based on proprietary company information.</t>
  </si>
  <si>
    <t xml:space="preserve">THE QUESTION</t>
  </si>
  <si>
    <t xml:space="preserve">Should an ad-supported streaming platform acquire Project Nightfall, under what deal structure, and what is the maximum economically supportable bid?</t>
  </si>
  <si>
    <t xml:space="preserve">Project Nightfall is a fictional package of five action and thriller features offered on a 24-month exclusive U.S. AVOD licence. All titles, performance assumptions, costs and deal terms are invented for this exercise.</t>
  </si>
  <si>
    <t xml:space="preserve">HOW TO USE THE MODEL</t>
  </si>
  <si>
    <t xml:space="preserve">1. Set the scenario on the Scenarios sheet. The selector drives every downstream sheet. Scenarios move operating drivers only; no output is overridden.</t>
  </si>
  <si>
    <t xml:space="preserve">2. Read the answer on the Executive Summary sheet. Price, returns, preferred structure and portfolio risk are all model outputs.</t>
  </si>
  <si>
    <t xml:space="preserve">3. Check the QA Controls sheet before relying on any number. Fourteen automated controls reconcile the model.</t>
  </si>
  <si>
    <t xml:space="preserve">4. Edit inputs only in the blue cells on Assumptions, Title Inputs and the scenario driver table.</t>
  </si>
  <si>
    <t xml:space="preserve">SHEET MAP</t>
  </si>
  <si>
    <t xml:space="preserve">Assumptions</t>
  </si>
  <si>
    <t xml:space="preserve">Term, required return, monetisation and cost globals, and the terms of all three deal structures.</t>
  </si>
  <si>
    <t xml:space="preserve">Title Inputs</t>
  </si>
  <si>
    <t xml:space="preserve">Twenty-three assumptions for each of the five titles, including judgement overlays.</t>
  </si>
  <si>
    <t xml:space="preserve">Monthly Viewing Forecast</t>
  </si>
  <si>
    <t xml:space="preserve">Monthly viewers, viewing hours, monetised impressions and gross advertising revenue, by title and scenario.</t>
  </si>
  <si>
    <t xml:space="preserve">Title Economics</t>
  </si>
  <si>
    <t xml:space="preserve">Monthly incremental revenue, follow-on value, costs and contribution by title and scenario, plus the active-scenario title summary.</t>
  </si>
  <si>
    <t xml:space="preserve">Deal Structures</t>
  </si>
  <si>
    <t xml:space="preserve">Monthly payment mechanics for the fixed fee, the guarantee plus revenue share, and the performance fee with earn-outs.</t>
  </si>
  <si>
    <t xml:space="preserve">Scenarios</t>
  </si>
  <si>
    <t xml:space="preserve">Scenario selector, operating drivers, scenario results and the pricing conclusions.</t>
  </si>
  <si>
    <t xml:space="preserve">Sensitivities</t>
  </si>
  <si>
    <t xml:space="preserve">Two-way sensitivity grids, break-even analysis, title ranking, concentration and the cash flow profile.</t>
  </si>
  <si>
    <t xml:space="preserve">Executive Summary</t>
  </si>
  <si>
    <t xml:space="preserve">The recommendation and the figures used in the accompanying presentation.</t>
  </si>
  <si>
    <t xml:space="preserve">QA Controls</t>
  </si>
  <si>
    <t xml:space="preserve">Automated reconciliation controls with PASS or FAIL results.</t>
  </si>
  <si>
    <t xml:space="preserve">COLOUR AND FORMATTING CONVENTION</t>
  </si>
  <si>
    <t xml:space="preserve">Blue text on a pale fill: a direct input. Edit these.</t>
  </si>
  <si>
    <t xml:space="preserve">Black text: a formula calculated on the same sheet.</t>
  </si>
  <si>
    <t xml:space="preserve">Green text: a link to another sheet.</t>
  </si>
  <si>
    <t xml:space="preserve">Shaded cells: totals and headline outputs.</t>
  </si>
  <si>
    <t xml:space="preserve">CORE FORMULAS</t>
  </si>
  <si>
    <t xml:space="preserve">Viewing hours = unique viewers x starts per viewer x runtime x completion rate / 60</t>
  </si>
  <si>
    <t xml:space="preserve">Monetised ad impressions = viewing hours x ad opportunities per hour x fill rate</t>
  </si>
  <si>
    <t xml:space="preserve">Advertising revenue = monetised impressions / 1,000 x net CPM</t>
  </si>
  <si>
    <t xml:space="preserve">Incremental advertising revenue = advertising revenue x incrementality rate</t>
  </si>
  <si>
    <t xml:space="preserve">Contribution before licence fee = incremental advertising revenue + follow-on engagement value - marketing - delivery and QC - variable serving costs</t>
  </si>
  <si>
    <t xml:space="preserve">Contribution after licence fee = contribution before licence fee - allocated licence fee</t>
  </si>
  <si>
    <t xml:space="preserve">NPV = discounted monthly incremental cash flows across the 24-month term</t>
  </si>
  <si>
    <t xml:space="preserve">Portfolio ROI = (PV of benefits - PV of acquisition and support costs) / PV of acquisition and support costs</t>
  </si>
  <si>
    <t xml:space="preserve">Bid ceiling = PV of contribution before licence fee / PV factor on one dollar of fee</t>
  </si>
  <si>
    <t xml:space="preserve">WHAT IS AND IS NOT COUNTED</t>
  </si>
  <si>
    <t xml:space="preserve">Directly attributable revenue: advertising revenue earned against viewing of these five titles.</t>
  </si>
  <si>
    <t xml:space="preserve">Modelled incremental benefits: the share of that revenue judged incremental rather than displaced from other owned content, plus a separately stated follow-on engagement value earned only on incremental viewing hours.</t>
  </si>
  <si>
    <t xml:space="preserve">Unquantified strategic considerations: genre coverage, merchandising of the package in seasonal programming, and negotiating precedent with the distributor. These are described in the presentation and carry no value in the model.</t>
  </si>
  <si>
    <t xml:space="preserve">To avoid double counting, retention and audience acquisition effects are not valued separately. The follow-on engagement value is the only benefit recognised beyond attributable advertising revenue, and it is applied to incremental viewing hours only.</t>
  </si>
  <si>
    <t xml:space="preserve">LIMITATIONS</t>
  </si>
  <si>
    <t xml:space="preserve">Every assumption is illustrative. None of it is observed market data and none of it should be read as such.</t>
  </si>
  <si>
    <t xml:space="preserve">The model contains no terminal or renewal value. The licence expires at month 24.</t>
  </si>
  <si>
    <t xml:space="preserve">Unique viewers are modelled at the title level; overlap between titles is not deducted from portfolio reach.</t>
  </si>
  <si>
    <t xml:space="preserve">Incrementality is an input judgement, not an estimate from a holdout test.</t>
  </si>
  <si>
    <t xml:space="preserve">Sensitivity grids scale the Base monthly profile uniformly and therefore hold the shape of the decay curve constant.</t>
  </si>
  <si>
    <t xml:space="preserve">Global assumptions and deal terms</t>
  </si>
  <si>
    <t xml:space="preserve">PACKAGE AND LICENCE TERM</t>
  </si>
  <si>
    <t xml:space="preserve">Package name</t>
  </si>
  <si>
    <t xml:space="preserve">Project Nightfall</t>
  </si>
  <si>
    <t xml:space="preserve">Rights granted</t>
  </si>
  <si>
    <t xml:space="preserve">U.S. exclusive AVOD, all devices</t>
  </si>
  <si>
    <t xml:space="preserve">Licence term (months)</t>
  </si>
  <si>
    <t xml:space="preserve">Model horizon; no renewal value assumed</t>
  </si>
  <si>
    <t xml:space="preserve">Titles in package</t>
  </si>
  <si>
    <t xml:space="preserve">Seller initial ask - fixed fee ($)</t>
  </si>
  <si>
    <t xml:space="preserve">Opening position quoted by the distributor</t>
  </si>
  <si>
    <t xml:space="preserve">RETURN AND DISCOUNTING</t>
  </si>
  <si>
    <t xml:space="preserve">Required return (annual, nominal)</t>
  </si>
  <si>
    <t xml:space="preserve">Hurdle applied to content acquisition capital</t>
  </si>
  <si>
    <t xml:space="preserve">Monthly discount rate</t>
  </si>
  <si>
    <t xml:space="preserve">Cash flows discounted at end of each month</t>
  </si>
  <si>
    <t xml:space="preserve">Target portfolio ROI for pricing test</t>
  </si>
  <si>
    <t xml:space="preserve">Second pricing test alongside downside break-even</t>
  </si>
  <si>
    <t xml:space="preserve">Opening offer as % of target price</t>
  </si>
  <si>
    <t xml:space="preserve">Leaves negotiating room below the target</t>
  </si>
  <si>
    <t xml:space="preserve">MONETISATION AND COST GLOBALS</t>
  </si>
  <si>
    <t xml:space="preserve">Follow-on engagement value ($ per incremental viewing hour)</t>
  </si>
  <si>
    <t xml:space="preserve">Modelled incremental benefit; held separate from attributable ad revenue</t>
  </si>
  <si>
    <t xml:space="preserve">Variable serving cost ($ per viewing hour)</t>
  </si>
  <si>
    <t xml:space="preserve">CDN, encoding, packaging and DRM</t>
  </si>
  <si>
    <t xml:space="preserve">MARKETING SPEND PROFILE (% OF TITLE MARKETING SUPPORT)</t>
  </si>
  <si>
    <t xml:space="preserve">Month 1</t>
  </si>
  <si>
    <t xml:space="preserve">Month 2</t>
  </si>
  <si>
    <t xml:space="preserve">Month 3</t>
  </si>
  <si>
    <t xml:space="preserve">Month 4</t>
  </si>
  <si>
    <t xml:space="preserve">Check: profile sums to 100%</t>
  </si>
  <si>
    <t xml:space="preserve">FIXED-FEE PAYMENT TERMS (STRUCTURE A)</t>
  </si>
  <si>
    <t xml:space="preserve">First instalment (% of fee)</t>
  </si>
  <si>
    <t xml:space="preserve">Paid on delivery and acceptance</t>
  </si>
  <si>
    <t xml:space="preserve">First instalment month</t>
  </si>
  <si>
    <t xml:space="preserve">Second instalment (% of fee)</t>
  </si>
  <si>
    <t xml:space="preserve">Paid on the six-month anniversary</t>
  </si>
  <si>
    <t xml:space="preserve">Second instalment month</t>
  </si>
  <si>
    <t xml:space="preserve">PV factor on one dollar of fixed fee</t>
  </si>
  <si>
    <t xml:space="preserve">Used to convert a headline fee into present value</t>
  </si>
  <si>
    <t xml:space="preserve">STRUCTURE B - MINIMUM GUARANTEE PLUS REVENUE SHARE</t>
  </si>
  <si>
    <t xml:space="preserve">Minimum guarantee ($)</t>
  </si>
  <si>
    <t xml:space="preserve">Paid month 1, creditable against revenue share</t>
  </si>
  <si>
    <t xml:space="preserve">Licensor share of attributable gross ad revenue</t>
  </si>
  <si>
    <t xml:space="preserve">STRUCTURE C - PERFORMANCE FEE WITH EARN-OUTS</t>
  </si>
  <si>
    <t xml:space="preserve">Base fee ($)</t>
  </si>
  <si>
    <t xml:space="preserve">Paid month 1 on delivery</t>
  </si>
  <si>
    <t xml:space="preserve">Earn-out 1 payment ($)</t>
  </si>
  <si>
    <t xml:space="preserve">Earn-out 1 trigger - cumulative viewing hours by month 12</t>
  </si>
  <si>
    <t xml:space="preserve">Earn-out 2 payment ($)</t>
  </si>
  <si>
    <t xml:space="preserve">Earn-out 2 trigger - cumulative viewing hours by month 18</t>
  </si>
  <si>
    <t xml:space="preserve">Earn-out 3 payment ($)</t>
  </si>
  <si>
    <t xml:space="preserve">Earn-out 3 trigger - cumulative viewing hours by month 24</t>
  </si>
  <si>
    <t xml:space="preserve">All figures are illustrative and constructed for this case study. They are not observed market data.</t>
  </si>
  <si>
    <t xml:space="preserve">Title-level assumptions (five titles)</t>
  </si>
  <si>
    <t xml:space="preserve">TITLE PROFILE</t>
  </si>
  <si>
    <t xml:space="preserve">Line item</t>
  </si>
  <si>
    <t xml:space="preserve">Title 1</t>
  </si>
  <si>
    <t xml:space="preserve">Title 2</t>
  </si>
  <si>
    <t xml:space="preserve">Title 3</t>
  </si>
  <si>
    <t xml:space="preserve">Title 4</t>
  </si>
  <si>
    <t xml:space="preserve">Title 5</t>
  </si>
  <si>
    <t xml:space="preserve">Portfolio</t>
  </si>
  <si>
    <t xml:space="preserve">Notes</t>
  </si>
  <si>
    <t xml:space="preserve">Fictional title</t>
  </si>
  <si>
    <t xml:space="preserve">Nightfall Protocol</t>
  </si>
  <si>
    <t xml:space="preserve">Ash Ridge</t>
  </si>
  <si>
    <t xml:space="preserve">Cold Harbor</t>
  </si>
  <si>
    <t xml:space="preserve">The Quiet Depth</t>
  </si>
  <si>
    <t xml:space="preserve">Vector Nine</t>
  </si>
  <si>
    <t xml:space="preserve">Genre</t>
  </si>
  <si>
    <t xml:space="preserve">Action</t>
  </si>
  <si>
    <t xml:space="preserve">Thriller</t>
  </si>
  <si>
    <t xml:space="preserve">Subgenre</t>
  </si>
  <si>
    <t xml:space="preserve">Special-ops thriller</t>
  </si>
  <si>
    <t xml:space="preserve">Survival action</t>
  </si>
  <si>
    <t xml:space="preserve">Espionage thriller</t>
  </si>
  <si>
    <t xml:space="preserve">Submarine thriller</t>
  </si>
  <si>
    <t xml:space="preserve">Cyber thriller</t>
  </si>
  <si>
    <t xml:space="preserve">Release year</t>
  </si>
  <si>
    <t xml:space="preserve">Held as text so it is not formatted as a number</t>
  </si>
  <si>
    <t xml:space="preserve">Runtime (minutes)</t>
  </si>
  <si>
    <t xml:space="preserve">Comparable-performance tier</t>
  </si>
  <si>
    <t xml:space="preserve">Tier 1 - Wide theatrical</t>
  </si>
  <si>
    <t xml:space="preserve">Tier 2 - Limited theatrical</t>
  </si>
  <si>
    <t xml:space="preserve">Tier 3 - Direct to streaming</t>
  </si>
  <si>
    <t xml:space="preserve">Tier 4 - Festival / niche</t>
  </si>
  <si>
    <t xml:space="preserve">Internal tiering of comparable library performance</t>
  </si>
  <si>
    <t xml:space="preserve">AUDIENCE AND VIEWING</t>
  </si>
  <si>
    <t xml:space="preserve">Projected unique viewers - lifetime, base curve</t>
  </si>
  <si>
    <t xml:space="preserve">Lifetime total over the 24-month window at the base decay rate</t>
  </si>
  <si>
    <t xml:space="preserve">Starts per viewer</t>
  </si>
  <si>
    <t xml:space="preserve">Total starts divided by unique viewers</t>
  </si>
  <si>
    <t xml:space="preserve">Repeat viewing rate</t>
  </si>
  <si>
    <t xml:space="preserve">Starts per viewer less one; the share of viewing that is a return visit</t>
  </si>
  <si>
    <t xml:space="preserve">Completion rate</t>
  </si>
  <si>
    <t xml:space="preserve">Average minutes viewed per start</t>
  </si>
  <si>
    <t xml:space="preserve">Runtime multiplied by completion rate</t>
  </si>
  <si>
    <t xml:space="preserve">Monthly viewing decay rate</t>
  </si>
  <si>
    <t xml:space="preserve">Month-on-month decline in unique viewers</t>
  </si>
  <si>
    <t xml:space="preserve">Decay curve normaliser (24 months)</t>
  </si>
  <si>
    <t xml:space="preserve">Geometric sum of the base decay curve; converts lifetime viewers into a month-1 base</t>
  </si>
  <si>
    <t xml:space="preserve">ADVERTISING MONETISATION</t>
  </si>
  <si>
    <t xml:space="preserve">Ad opportunities per viewing hour</t>
  </si>
  <si>
    <t xml:space="preserve">30-second equivalent impressions available per hour</t>
  </si>
  <si>
    <t xml:space="preserve">Ad fill rate</t>
  </si>
  <si>
    <t xml:space="preserve">Net advertising CPM ($)</t>
  </si>
  <si>
    <t xml:space="preserve">Net of ad-serving and sales costs</t>
  </si>
  <si>
    <t xml:space="preserve">Incrementality rate</t>
  </si>
  <si>
    <t xml:space="preserve">Share of viewing not displaced from other owned content</t>
  </si>
  <si>
    <t xml:space="preserve">Cannibalisation rate</t>
  </si>
  <si>
    <t xml:space="preserve">One less the incrementality rate</t>
  </si>
  <si>
    <t xml:space="preserve">COSTS AND ALLOCATION</t>
  </si>
  <si>
    <t xml:space="preserve">Marketing support ($)</t>
  </si>
  <si>
    <t xml:space="preserve">Delivery, localisation and QC ($)</t>
  </si>
  <si>
    <t xml:space="preserve">Linked to the global rate on Assumptions</t>
  </si>
  <si>
    <t xml:space="preserve">Linked to the global rate on Assumptions; reported separately from ad revenue</t>
  </si>
  <si>
    <t xml:space="preserve">Allocated licence fee share of package</t>
  </si>
  <si>
    <t xml:space="preserve">Negotiated allocation used for title-level economics; must total 100%</t>
  </si>
  <si>
    <t xml:space="preserve">JUDGEMENT OVERLAYS</t>
  </si>
  <si>
    <t xml:space="preserve">Forecast confidence</t>
  </si>
  <si>
    <t xml:space="preserve">High</t>
  </si>
  <si>
    <t xml:space="preserve">Medium</t>
  </si>
  <si>
    <t xml:space="preserve">Low</t>
  </si>
  <si>
    <t xml:space="preserve">Risk rating</t>
  </si>
  <si>
    <t xml:space="preserve">Portfolio role</t>
  </si>
  <si>
    <t xml:space="preserve">Anchor</t>
  </si>
  <si>
    <t xml:space="preserve">Supporting</t>
  </si>
  <si>
    <t xml:space="preserve">Filler</t>
  </si>
  <si>
    <t xml:space="preserve">Dilutive</t>
  </si>
  <si>
    <t xml:space="preserve">Blue cells are direct inputs. Green cells link to another sheet. Black cells are formulas. All values are illustrative.</t>
  </si>
  <si>
    <t xml:space="preserve">Monthly viewing, impressions and gross advertising revenue by title</t>
  </si>
  <si>
    <t xml:space="preserve">Scenario</t>
  </si>
  <si>
    <t xml:space="preserve">Title</t>
  </si>
  <si>
    <t xml:space="preserve">Month</t>
  </si>
  <si>
    <t xml:space="preserve">Total</t>
  </si>
  <si>
    <t xml:space="preserve">DOWNSIDE SCENARIO</t>
  </si>
  <si>
    <t xml:space="preserve">Downside</t>
  </si>
  <si>
    <t xml:space="preserve">Monthly unique viewers</t>
  </si>
  <si>
    <t xml:space="preserve">Share of modelled lifetime viewers</t>
  </si>
  <si>
    <t xml:space="preserve">Viewing hours</t>
  </si>
  <si>
    <t xml:space="preserve">Monetised ad impressions</t>
  </si>
  <si>
    <t xml:space="preserve">Gross advertising revenue ($)</t>
  </si>
  <si>
    <t xml:space="preserve">PORTFOLIO</t>
  </si>
  <si>
    <t xml:space="preserve">Portfolio unique viewers</t>
  </si>
  <si>
    <t xml:space="preserve">Portfolio viewing hours</t>
  </si>
  <si>
    <t xml:space="preserve">Portfolio monetised impressions</t>
  </si>
  <si>
    <t xml:space="preserve">Portfolio gross advertising revenue ($)</t>
  </si>
  <si>
    <t xml:space="preserve">Cumulative viewing hours</t>
  </si>
  <si>
    <t xml:space="preserve">Cumulative gross advertising revenue ($)</t>
  </si>
  <si>
    <t xml:space="preserve">BASE SCENARIO</t>
  </si>
  <si>
    <t xml:space="preserve">Base</t>
  </si>
  <si>
    <t xml:space="preserve">UPSIDE SCENARIO</t>
  </si>
  <si>
    <t xml:space="preserve">Upside</t>
  </si>
  <si>
    <t xml:space="preserve">Monthly contribution by title and scenario</t>
  </si>
  <si>
    <t xml:space="preserve">Discount factor (end of month)</t>
  </si>
  <si>
    <t xml:space="preserve">Incremental advertising revenue ($)</t>
  </si>
  <si>
    <t xml:space="preserve">Follow-on engagement value ($)</t>
  </si>
  <si>
    <t xml:space="preserve">Variable serving costs ($)</t>
  </si>
  <si>
    <t xml:space="preserve">Contribution before licence fee ($)</t>
  </si>
  <si>
    <t xml:space="preserve">Portfolio incremental advertising revenue ($)</t>
  </si>
  <si>
    <t xml:space="preserve">Portfolio follow-on engagement value ($)</t>
  </si>
  <si>
    <t xml:space="preserve">Portfolio marketing support ($)</t>
  </si>
  <si>
    <t xml:space="preserve">Portfolio delivery, localisation and QC ($)</t>
  </si>
  <si>
    <t xml:space="preserve">Portfolio variable serving costs ($)</t>
  </si>
  <si>
    <t xml:space="preserve">Total modelled benefits ($)</t>
  </si>
  <si>
    <t xml:space="preserve">Total support costs ($)</t>
  </si>
  <si>
    <t xml:space="preserve">PV of modelled benefits ($)</t>
  </si>
  <si>
    <t xml:space="preserve">PV of support costs ($)</t>
  </si>
  <si>
    <t xml:space="preserve">PV of contribution before licence fee ($)</t>
  </si>
  <si>
    <t xml:space="preserve">PV of incremental advertising revenue ($)</t>
  </si>
  <si>
    <t xml:space="preserve">PV of follow-on engagement value ($)</t>
  </si>
  <si>
    <t xml:space="preserve">PV of variable serving costs ($)</t>
  </si>
  <si>
    <t xml:space="preserve">PV of fixed support costs (marketing, delivery and QC) ($)</t>
  </si>
  <si>
    <t xml:space="preserve">ACTIVE SCENARIO - TITLE SUMMARY</t>
  </si>
  <si>
    <t xml:space="preserve">Active scenario</t>
  </si>
  <si>
    <t xml:space="preserve">Recommended target price used for the licence fee allocation</t>
  </si>
  <si>
    <t xml:space="preserve">Modelled lifetime unique viewers</t>
  </si>
  <si>
    <t xml:space="preserve">Share of portfolio contribution before fee</t>
  </si>
  <si>
    <t xml:space="preserve">Allocated licence fee share</t>
  </si>
  <si>
    <t xml:space="preserve">Allocated licence fee at the target price ($)</t>
  </si>
  <si>
    <t xml:space="preserve">Contribution after licence fee ($)</t>
  </si>
  <si>
    <t xml:space="preserve">PV of the allocated licence fee ($)</t>
  </si>
  <si>
    <t xml:space="preserve">Title NPV at the target price ($)</t>
  </si>
  <si>
    <t xml:space="preserve">Title ROI at the target price</t>
  </si>
  <si>
    <t xml:space="preserve">Downside contribution before licence fee ($)</t>
  </si>
  <si>
    <t xml:space="preserve">Downside contribution after licence fee ($)</t>
  </si>
  <si>
    <t xml:space="preserve">Cross-subsidy test</t>
  </si>
  <si>
    <t xml:space="preserve">Contribution is stated before any allocation of platform overhead. The licence fee allocation is a commercial convention and does not change portfolio economics.</t>
  </si>
  <si>
    <t xml:space="preserve">Payment mechanics and comparison of three deal structures</t>
  </si>
  <si>
    <t xml:space="preserve">Structure</t>
  </si>
  <si>
    <t xml:space="preserve">Structure A licence fee - recommended target price ($)</t>
  </si>
  <si>
    <t xml:space="preserve">All three structures are priced from the same recommended target price so that they are comparable.</t>
  </si>
  <si>
    <t xml:space="preserve">A - Fixed licence fee</t>
  </si>
  <si>
    <t xml:space="preserve">Licence payment ($)</t>
  </si>
  <si>
    <t xml:space="preserve">Net cash flow ($)</t>
  </si>
  <si>
    <t xml:space="preserve">Cumulative net cash flow ($)</t>
  </si>
  <si>
    <t xml:space="preserve">Payback flag</t>
  </si>
  <si>
    <t xml:space="preserve">B - Minimum guarantee plus revenue share</t>
  </si>
  <si>
    <t xml:space="preserve">Revenue share accrued ($)</t>
  </si>
  <si>
    <t xml:space="preserve">Cumulative revenue share accrued ($)</t>
  </si>
  <si>
    <t xml:space="preserve">Cumulative obligation ($)</t>
  </si>
  <si>
    <t xml:space="preserve">C - Performance fee with earn-outs</t>
  </si>
  <si>
    <t xml:space="preserve">DEAL STRUCTURE COMPARISON</t>
  </si>
  <si>
    <t xml:space="preserve">Measure</t>
  </si>
  <si>
    <t xml:space="preserve">Total expected platform licence cost - Base ($)</t>
  </si>
  <si>
    <t xml:space="preserve">PV of licence payments - Base ($)</t>
  </si>
  <si>
    <t xml:space="preserve">Base-case NPV ($)</t>
  </si>
  <si>
    <t xml:space="preserve">Base-case ROI</t>
  </si>
  <si>
    <t xml:space="preserve">Total licence cost - Downside ($)</t>
  </si>
  <si>
    <t xml:space="preserve">Downside NPV ($)</t>
  </si>
  <si>
    <t xml:space="preserve">Upside NPV ($)</t>
  </si>
  <si>
    <t xml:space="preserve">Downside exposure - fall in NPV from Base ($)</t>
  </si>
  <si>
    <t xml:space="preserve">Break-even viewing hours - Base cost profile</t>
  </si>
  <si>
    <t xml:space="preserve">Payback period (months, Base)</t>
  </si>
  <si>
    <t xml:space="preserve">Economic alignment with the seller</t>
  </si>
  <si>
    <t xml:space="preserve">Low. The buyer carries all performance risk once the fee is fixed.</t>
  </si>
  <si>
    <t xml:space="preserve">High. The seller participates directly in realised advertising revenue.</t>
  </si>
  <si>
    <t xml:space="preserve">Moderate to high. The seller is paid more only if viewing thresholds are met.</t>
  </si>
  <si>
    <t xml:space="preserve">Operational complexity</t>
  </si>
  <si>
    <t xml:space="preserve">Low. Two instalments and no ongoing reporting obligation.</t>
  </si>
  <si>
    <t xml:space="preserve">High. Requires audited monthly revenue reporting and a credit mechanism.</t>
  </si>
  <si>
    <t xml:space="preserve">Moderate. Requires agreed viewing definitions and an audit right at three test dates.</t>
  </si>
  <si>
    <t xml:space="preserve">Recommended negotiating position</t>
  </si>
  <si>
    <t xml:space="preserve">Acceptable only at or below the target price. Reject at the ask.</t>
  </si>
  <si>
    <t xml:space="preserve">Acceptable fallback. Cap total payments at the walk-away ceiling.</t>
  </si>
  <si>
    <t xml:space="preserve">Preferred. Open here; it prices the disagreement about viewing rather than arguing it.</t>
  </si>
  <si>
    <t xml:space="preserve">Break-even viewing hours for Structures B and C hold the Base-case payment profile constant; under those structures a viewing shortfall also reduces the fee, so the true break-even is lower.</t>
  </si>
  <si>
    <t xml:space="preserve">Payback is the first month after which cumulative net cash flow stays positive to the end of the term.</t>
  </si>
  <si>
    <t xml:space="preserve">Scenario definitions, drivers and results</t>
  </si>
  <si>
    <t xml:space="preserve">SCENARIO SELECTOR</t>
  </si>
  <si>
    <t xml:space="preserve">Change this cell to re-run the whole model. Every downstream sheet responds.</t>
  </si>
  <si>
    <t xml:space="preserve">Scenario index</t>
  </si>
  <si>
    <t xml:space="preserve">SCENARIO DRIVERS</t>
  </si>
  <si>
    <t xml:space="preserve">Operating driver</t>
  </si>
  <si>
    <t xml:space="preserve">Active</t>
  </si>
  <si>
    <t xml:space="preserve">Basis</t>
  </si>
  <si>
    <t xml:space="preserve">Unique viewers (multiplier on lifetime viewers)</t>
  </si>
  <si>
    <t xml:space="preserve">Reach of the package on the service</t>
  </si>
  <si>
    <t xml:space="preserve">Completion rate (multiplier)</t>
  </si>
  <si>
    <t xml:space="preserve">Engagement per start</t>
  </si>
  <si>
    <t xml:space="preserve">Monthly viewing decay (delta, percentage points)</t>
  </si>
  <si>
    <t xml:space="preserve">Steeper decay shortens the earning life</t>
  </si>
  <si>
    <t xml:space="preserve">Ad fill rate (multiplier)</t>
  </si>
  <si>
    <t xml:space="preserve">Advertiser demand against available inventory</t>
  </si>
  <si>
    <t xml:space="preserve">Net advertising CPM (multiplier)</t>
  </si>
  <si>
    <t xml:space="preserve">Pricing in the ad market</t>
  </si>
  <si>
    <t xml:space="preserve">Incrementality (multiplier)</t>
  </si>
  <si>
    <t xml:space="preserve">Share of viewing that is genuinely additive</t>
  </si>
  <si>
    <t xml:space="preserve">Marketing cost per unit of reach (multiplier)</t>
  </si>
  <si>
    <t xml:space="preserve">Efficiency of promotional support</t>
  </si>
  <si>
    <t xml:space="preserve">Scenarios move operating drivers only. No output is overridden.</t>
  </si>
  <si>
    <t xml:space="preserve">SCENARIO-ADJUSTED TITLE DRIVERS</t>
  </si>
  <si>
    <t xml:space="preserve">Month-1 unique viewers</t>
  </si>
  <si>
    <t xml:space="preserve">SCENARIO RESULTS</t>
  </si>
  <si>
    <t xml:space="preserve">Portfolio outcome</t>
  </si>
  <si>
    <t xml:space="preserve">Definition</t>
  </si>
  <si>
    <t xml:space="preserve">Sum of monthly title-level viewing hours</t>
  </si>
  <si>
    <t xml:space="preserve">Monetised impressions divided by 1,000, multiplied by net CPM</t>
  </si>
  <si>
    <t xml:space="preserve">Gross advertising revenue multiplied by the incrementality rate</t>
  </si>
  <si>
    <t xml:space="preserve">Modelled incremental benefit, reported separately from ad revenue</t>
  </si>
  <si>
    <t xml:space="preserve">Marketing, delivery and QC, and variable serving costs</t>
  </si>
  <si>
    <t xml:space="preserve">Benefits less support costs, before any payment to the seller</t>
  </si>
  <si>
    <t xml:space="preserve">Discounted at the monthly required return</t>
  </si>
  <si>
    <t xml:space="preserve">Capital available to pay the seller and still earn the required return</t>
  </si>
  <si>
    <t xml:space="preserve">Bid ceiling - maximum fixed fee at the required return ($)</t>
  </si>
  <si>
    <t xml:space="preserve">PV of contribution before fee divided by the PV factor on one dollar of fee</t>
  </si>
  <si>
    <t xml:space="preserve">PRICING CONCLUSIONS</t>
  </si>
  <si>
    <t xml:space="preserve">Seller initial ask ($)</t>
  </si>
  <si>
    <t xml:space="preserve">Linked to Assumptions</t>
  </si>
  <si>
    <t xml:space="preserve">Walk-away ceiling - Base bid ceiling ($)</t>
  </si>
  <si>
    <t xml:space="preserve">Above this price the Base case fails the required return</t>
  </si>
  <si>
    <t xml:space="preserve">Downside break-even fee ($)</t>
  </si>
  <si>
    <t xml:space="preserve">Price at which the Downside case is exactly break-even</t>
  </si>
  <si>
    <t xml:space="preserve">Fee at the target portfolio ROI ($)</t>
  </si>
  <si>
    <t xml:space="preserve">Price at which the Base case earns the target ROI</t>
  </si>
  <si>
    <t xml:space="preserve">Recommended target price ($)</t>
  </si>
  <si>
    <t xml:space="preserve">The more binding of the two pricing tests</t>
  </si>
  <si>
    <t xml:space="preserve">Recommended opening offer ($)</t>
  </si>
  <si>
    <t xml:space="preserve">Target price less the negotiating margin set on Assumptions</t>
  </si>
  <si>
    <t xml:space="preserve">Seller ask premium to the walk-away ceiling</t>
  </si>
  <si>
    <t xml:space="preserve">Viewing uplift required to justify the ask</t>
  </si>
  <si>
    <t xml:space="preserve">Uniform uplift to Base viewing needed for the ask to clear the required return</t>
  </si>
  <si>
    <t xml:space="preserve">Discount to the ask implied by the target price</t>
  </si>
  <si>
    <t xml:space="preserve">OUTCOMES AT THE ASK AND AT THE TARGET PRICE (FIXED-FEE STRUCTURE)</t>
  </si>
  <si>
    <t xml:space="preserve">NPV at the seller ask ($)</t>
  </si>
  <si>
    <t xml:space="preserve">ROI at the seller ask</t>
  </si>
  <si>
    <t xml:space="preserve">NPV at the target price ($)</t>
  </si>
  <si>
    <t xml:space="preserve">ROI at the target price</t>
  </si>
  <si>
    <t xml:space="preserve">ROI is stated on a present-value basis for both benefits and costs so that it is timing-consistent with NPV.</t>
  </si>
  <si>
    <t xml:space="preserve">All figures are illustrative outputs of a synthetic model.</t>
  </si>
  <si>
    <t xml:space="preserve">Sensitivity, break-even and portfolio concentration analysis</t>
  </si>
  <si>
    <t xml:space="preserve">BASE-CASE VALUE COMPONENTS USED IN THE SENSITIVITY GRIDS</t>
  </si>
  <si>
    <t xml:space="preserve">PV of incremental advertising revenue - Base ($)</t>
  </si>
  <si>
    <t xml:space="preserve">PV of follow-on engagement value - Base ($)</t>
  </si>
  <si>
    <t xml:space="preserve">PV of variable serving costs - Base ($)</t>
  </si>
  <si>
    <t xml:space="preserve">PV of fixed support costs - Base ($)</t>
  </si>
  <si>
    <t xml:space="preserve">Seller ask ($)</t>
  </si>
  <si>
    <t xml:space="preserve">Base viewing hours</t>
  </si>
  <si>
    <t xml:space="preserve">Base weighted-average net CPM ($)</t>
  </si>
  <si>
    <t xml:space="preserve">Gross advertising revenue per thousand monetised impressions</t>
  </si>
  <si>
    <t xml:space="preserve">TWO-WAY SENSITIVITY 1 - PORTFOLIO NPV AT THE TARGET PRICE ($)</t>
  </si>
  <si>
    <t xml:space="preserve">Rows: viewing versus Base. Columns: net CPM versus Base.</t>
  </si>
  <si>
    <t xml:space="preserve">Viewing / CPM</t>
  </si>
  <si>
    <t xml:space="preserve">TWO-WAY SENSITIVITY 2 - PORTFOLIO NPV BY LICENCE FEE AND INCREMENTALITY ($)</t>
  </si>
  <si>
    <t xml:space="preserve">Rows: fixed licence fee. Columns: incrementality versus Base. Follow-on value scales with incrementality because it is earned only on incremental viewing.</t>
  </si>
  <si>
    <t xml:space="preserve">Fee / incrementality</t>
  </si>
  <si>
    <t xml:space="preserve">BREAK-EVEN AND MAXIMUM SUPPORTABLE PRICE</t>
  </si>
  <si>
    <t xml:space="preserve">Break-even viewing hours at the target price</t>
  </si>
  <si>
    <t xml:space="preserve">Uniform scaling of the Base viewing profile that sets NPV to zero</t>
  </si>
  <si>
    <t xml:space="preserve">Break-even viewing hours at the seller ask</t>
  </si>
  <si>
    <t xml:space="preserve">Viewing headroom at the target price</t>
  </si>
  <si>
    <t xml:space="preserve">Share of Base viewing that can be lost before the deal stops clearing the required return</t>
  </si>
  <si>
    <t xml:space="preserve">Additional viewing required at the seller ask</t>
  </si>
  <si>
    <t xml:space="preserve">Break-even weighted-average net CPM at the target price ($)</t>
  </si>
  <si>
    <t xml:space="preserve">Break-even weighted-average net CPM at the seller ask ($)</t>
  </si>
  <si>
    <t xml:space="preserve">Maximum supportable licence fee - Base ($)</t>
  </si>
  <si>
    <t xml:space="preserve">Walk-away ceiling</t>
  </si>
  <si>
    <t xml:space="preserve">Maximum supportable licence fee - Downside ($)</t>
  </si>
  <si>
    <t xml:space="preserve">Maximum supportable licence fee - Upside ($)</t>
  </si>
  <si>
    <t xml:space="preserve">TITLE CONTRIBUTION RANKING AND CONCENTRATION</t>
  </si>
  <si>
    <t xml:space="preserve">Rank</t>
  </si>
  <si>
    <t xml:space="preserve">Contribution before fee ($)</t>
  </si>
  <si>
    <t xml:space="preserve">Share of portfolio</t>
  </si>
  <si>
    <t xml:space="preserve">Cumulative share</t>
  </si>
  <si>
    <t xml:space="preserve">Contribution after fee ($)</t>
  </si>
  <si>
    <t xml:space="preserve">Downside contribution after fee ($)</t>
  </si>
  <si>
    <t xml:space="preserve">Largest title share of portfolio contribution</t>
  </si>
  <si>
    <t xml:space="preserve">Top two titles share of portfolio contribution</t>
  </si>
  <si>
    <t xml:space="preserve">Top three titles share of portfolio contribution</t>
  </si>
  <si>
    <t xml:space="preserve">Contribution concentration index (sum of squared shares)</t>
  </si>
  <si>
    <t xml:space="preserve">1.00 is a single-title package; 0.20 is five equal titles</t>
  </si>
  <si>
    <t xml:space="preserve">Titles that do not cover their allocated licence fee</t>
  </si>
  <si>
    <t xml:space="preserve">Titles with negative contribution before any licence fee</t>
  </si>
  <si>
    <t xml:space="preserve">Titles loss-making in the Downside after the allocated fee</t>
  </si>
  <si>
    <t xml:space="preserve">PORTFOLIO CASH FLOW - ACTIVE SCENARIO, PREFERRED STRUCTURE C</t>
  </si>
  <si>
    <t xml:space="preserve">Licence payments - Structure C ($)</t>
  </si>
  <si>
    <t xml:space="preserve">The cash flow above excludes any terminal or renewal value. The licence expires at month 24.</t>
  </si>
  <si>
    <t xml:space="preserve">Recommendation and key model outputs</t>
  </si>
  <si>
    <t xml:space="preserve">Recommendation</t>
  </si>
  <si>
    <t xml:space="preserve">PRICE</t>
  </si>
  <si>
    <t xml:space="preserve">Modelled bid ceiling, Base case ($)</t>
  </si>
  <si>
    <t xml:space="preserve">Maximum fixed fee that still earns the required return</t>
  </si>
  <si>
    <t xml:space="preserve">Target price ($)</t>
  </si>
  <si>
    <t xml:space="preserve">Walk-away ceiling ($)</t>
  </si>
  <si>
    <t xml:space="preserve">Ask premium to the walk-away ceiling</t>
  </si>
  <si>
    <t xml:space="preserve">RETURNS</t>
  </si>
  <si>
    <t xml:space="preserve">Base-case ROI at the target price</t>
  </si>
  <si>
    <t xml:space="preserve">Base-case NPV at the target price ($)</t>
  </si>
  <si>
    <t xml:space="preserve">Downside NPV at the target price ($)</t>
  </si>
  <si>
    <t xml:space="preserve">Upside NPV at the target price ($)</t>
  </si>
  <si>
    <t xml:space="preserve">Downside NPV at the seller ask ($)</t>
  </si>
  <si>
    <t xml:space="preserve">Base-case NPV at the seller ask ($)</t>
  </si>
  <si>
    <t xml:space="preserve">Upside NPV at the seller ask ($)</t>
  </si>
  <si>
    <t xml:space="preserve">PREFERRED STRUCTURE</t>
  </si>
  <si>
    <t xml:space="preserve">Preferred deal structure</t>
  </si>
  <si>
    <t xml:space="preserve">Selected because it produces the highest Downside NPV and strongest downside protection under its modeled contractual terms.</t>
  </si>
  <si>
    <t xml:space="preserve">Expected licence cost, Structure C, Base ($)</t>
  </si>
  <si>
    <t xml:space="preserve">Base-case NPV, Structure C ($)</t>
  </si>
  <si>
    <t xml:space="preserve">Downside NPV, Structure C ($)</t>
  </si>
  <si>
    <t xml:space="preserve">Upside NPV, Structure C ($)</t>
  </si>
  <si>
    <t xml:space="preserve">Payback period, Structure C, Base (months)</t>
  </si>
  <si>
    <t xml:space="preserve">VALUE BRIDGE - ACTIVE SCENARIO</t>
  </si>
  <si>
    <t xml:space="preserve">Support costs ($)</t>
  </si>
  <si>
    <t xml:space="preserve">PORTFOLIO SHAPE AND RISK</t>
  </si>
  <si>
    <t xml:space="preserve">Top two titles share of contribution</t>
  </si>
  <si>
    <t xml:space="preserve">Titles not covering their allocated fee</t>
  </si>
  <si>
    <t xml:space="preserve">Titles loss-making in the Downside after fee</t>
  </si>
  <si>
    <t xml:space="preserve">Automated reconciliation and integrity controls</t>
  </si>
  <si>
    <t xml:space="preserve">Overall status</t>
  </si>
  <si>
    <t xml:space="preserve">#</t>
  </si>
  <si>
    <t xml:space="preserve">Control</t>
  </si>
  <si>
    <t xml:space="preserve">Test</t>
  </si>
  <si>
    <t xml:space="preserve">Difference</t>
  </si>
  <si>
    <t xml:space="preserve">Tolerance</t>
  </si>
  <si>
    <t xml:space="preserve">Result</t>
  </si>
  <si>
    <t xml:space="preserve">Title licence allocations tie to the package fee</t>
  </si>
  <si>
    <t xml:space="preserve">Sum of title allocation shares equals 100% and allocated fees equal the target price</t>
  </si>
  <si>
    <t xml:space="preserve">Monthly viewing ties to lifetime viewing</t>
  </si>
  <si>
    <t xml:space="preserve">Sum of monthly unique viewers equals the lifetime input for every title in the Base case</t>
  </si>
  <si>
    <t xml:space="preserve">Viewing hours tie to title-level totals</t>
  </si>
  <si>
    <t xml:space="preserve">Portfolio viewing hours equal the sum of the five title rows in every scenario</t>
  </si>
  <si>
    <t xml:space="preserve">Impressions reconcile to hours, ad load and fill</t>
  </si>
  <si>
    <t xml:space="preserve">Title impressions equal viewing hours multiplied by ad opportunities and fill rate</t>
  </si>
  <si>
    <t xml:space="preserve">Advertising revenue reconciles to impressions and CPM</t>
  </si>
  <si>
    <t xml:space="preserve">Title gross advertising revenue equals impressions divided by 1,000 multiplied by net CPM</t>
  </si>
  <si>
    <t xml:space="preserve">Portfolio contribution ties to title-level contribution</t>
  </si>
  <si>
    <t xml:space="preserve">Portfolio contribution before licence fee equals the sum of the five titles in every scenario</t>
  </si>
  <si>
    <t xml:space="preserve">Scenario outputs respond to the selector</t>
  </si>
  <si>
    <t xml:space="preserve">Active-scenario portfolio viewing hours equal the selected column of the scenario results table</t>
  </si>
  <si>
    <t xml:space="preserve">Completion and fill rates never exceed 100%</t>
  </si>
  <si>
    <t xml:space="preserve">Maximum scenario-adjusted completion rate and fill rate across all titles and scenarios</t>
  </si>
  <si>
    <t xml:space="preserve">No negative viewers, hours, CPMs or revenue</t>
  </si>
  <si>
    <t xml:space="preserve">Minimum of portfolio viewing, revenue and CPM inputs across all scenarios</t>
  </si>
  <si>
    <t xml:space="preserve">Deal payments follow their contractual formulas</t>
  </si>
  <si>
    <t xml:space="preserve">Structure A totals the fee; Structure B totals the greater of the guarantee and accrued share; Structure C totals the base fee plus triggered earn-outs</t>
  </si>
  <si>
    <t xml:space="preserve">NPV and ROI use consistent cash-flow timing</t>
  </si>
  <si>
    <t xml:space="preserve">ROI restated as an NPV reproduces the reported NPV at the target price in every scenario</t>
  </si>
  <si>
    <t xml:space="preserve">Executive summary ties to the underlying model</t>
  </si>
  <si>
    <t xml:space="preserve">Headline price, return and viewing figures on the summary sheet equal their source cells</t>
  </si>
  <si>
    <t xml:space="preserve">Selected headline presentation figures tie to the model</t>
  </si>
  <si>
    <t xml:space="preserve">Selected headline figures in the accompanying presentation reconcile to the underlying model outputs</t>
  </si>
  <si>
    <t xml:space="preserve">Marketing spend profile sums to 100%</t>
  </si>
  <si>
    <t xml:space="preserve">The four-month marketing profile on the assumptions sheet totals one</t>
  </si>
  <si>
    <t xml:space="preserve">Controls are stated as absolute differences in dollars, hours or rate points against a stated tolerance. Tolerances above zero absorb floating-point rounding only.</t>
  </si>
  <si>
    <t xml:space="preserve">Break test performed during construction: the ad fill rate on Nightfall Protocol was set to 130%, the completion rate on Cold Harbor to 115%, and the licence allocation on Ash Ridge raised so that the allocations summed to 108%. Controls 1 and 8 returned FAIL and the overall status changed to CONTROL FAILURE. The inputs were then restored and all fourteen controls returned to PASS.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</si>
</sst>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#,##0;\(#,##0\);\-"/>
    <numFmt numFmtId="167" formatCode="\$#,##0;&quot;($&quot;#,##0\);\-"/>
    <numFmt numFmtId="168" formatCode="0.0%;\(0.0%\);\-"/>
    <numFmt numFmtId="169" formatCode="0.00%;\(0.00%\);\-"/>
    <numFmt numFmtId="170" formatCode="\$#,##0.000;&quot;($&quot;#,##0.000\);\-"/>
    <numFmt numFmtId="171" formatCode="#,##0.00;\(#,##0.00\);\-"/>
    <numFmt numFmtId="172" formatCode="#,##0.0;\(#,##0.0\);\-"/>
    <numFmt numFmtId="173" formatCode="\$#,##0.00;&quot;($&quot;#,##0.0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3338"/>
      <name val="Arial"/>
      <family val="0"/>
      <charset val="1"/>
    </font>
    <font>
      <b val="true"/>
      <sz val="12"/>
      <color rgb="FF6E1F2E"/>
      <name val="Arial"/>
      <family val="0"/>
      <charset val="1"/>
    </font>
    <font>
      <sz val="10"/>
      <color rgb="FF2E3338"/>
      <name val="Arial"/>
      <family val="0"/>
      <charset val="1"/>
    </font>
    <font>
      <i val="true"/>
      <sz val="10"/>
      <color rgb="FF6E1F2E"/>
      <name val="Arial"/>
      <family val="0"/>
      <charset val="1"/>
    </font>
    <font>
      <b val="true"/>
      <sz val="10"/>
      <color rgb="FF6E1F2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2E3338"/>
      <name val="Arial"/>
      <family val="0"/>
      <charset val="1"/>
    </font>
    <font>
      <b val="true"/>
      <sz val="11"/>
      <color rgb="FF6E1F2E"/>
      <name val="Arial"/>
      <family val="0"/>
      <charset val="1"/>
    </font>
    <font>
      <i val="true"/>
      <sz val="9"/>
      <color rgb="FF6B66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DE9E1"/>
        <bgColor rgb="FFE7E2D8"/>
      </patternFill>
    </fill>
    <fill>
      <patternFill patternType="solid">
        <fgColor rgb="FF2E3338"/>
        <bgColor rgb="FF333300"/>
      </patternFill>
    </fill>
    <fill>
      <patternFill patternType="solid">
        <fgColor rgb="FFFBF6E4"/>
        <bgColor rgb="FFFFFFFF"/>
      </patternFill>
    </fill>
    <fill>
      <patternFill patternType="solid">
        <fgColor rgb="FFE7E2D8"/>
        <bgColor rgb="FFEDE9E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F2E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BF6E4"/>
      <rgbColor rgb="FFE7E2D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9E1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666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2E33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before licence fee by title - active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'Title Economics'!$C$177:$G$177</c:f>
              <c:numCache>
                <c:formatCode>\$#,##0;"($"#,##0\);\-</c:formatCode>
                <c:ptCount val="5"/>
                <c:pt idx="0">
                  <c:v>1051288.351232</c:v>
                </c:pt>
                <c:pt idx="1">
                  <c:v>625470.780599467</c:v>
                </c:pt>
                <c:pt idx="2">
                  <c:v>362481.47</c:v>
                </c:pt>
                <c:pt idx="3">
                  <c:v>112253.0576755</c:v>
                </c:pt>
                <c:pt idx="4">
                  <c:v>-38869.89875</c:v>
                </c:pt>
              </c:numCache>
            </c:numRef>
          </c:val>
        </c:ser>
        <c:gapWidth val="150"/>
        <c:overlap val="0"/>
        <c:axId val="60585635"/>
        <c:axId val="74838138"/>
      </c:barChart>
      <c:catAx>
        <c:axId val="605856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38138"/>
        <c:crosses val="autoZero"/>
        <c:auto val="1"/>
        <c:lblAlgn val="ctr"/>
        <c:lblOffset val="100"/>
        <c:noMultiLvlLbl val="0"/>
      </c:catAx>
      <c:valAx>
        <c:axId val="74838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Contribution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856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viewing hours by month - active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Sensitivities!$E$69:$AB$69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Sensitivities!$E$70:$AB$70</c:f>
              <c:numCache>
                <c:formatCode>#,##0;\(#,##0\);\-</c:formatCode>
                <c:ptCount val="24"/>
                <c:pt idx="0">
                  <c:v>2060369.4902252</c:v>
                </c:pt>
                <c:pt idx="1">
                  <c:v>1804591.97402312</c:v>
                </c:pt>
                <c:pt idx="2">
                  <c:v>1580783.23803447</c:v>
                </c:pt>
                <c:pt idx="3">
                  <c:v>1384918.58902315</c:v>
                </c:pt>
                <c:pt idx="4">
                  <c:v>1213483.91177899</c:v>
                </c:pt>
                <c:pt idx="5">
                  <c:v>1063410.37569698</c:v>
                </c:pt>
                <c:pt idx="6">
                  <c:v>932017.560712617</c:v>
                </c:pt>
                <c:pt idx="7">
                  <c:v>816963.907685438</c:v>
                </c:pt>
                <c:pt idx="8">
                  <c:v>716203.541941544</c:v>
                </c:pt>
                <c:pt idx="9">
                  <c:v>627948.643303616</c:v>
                </c:pt>
                <c:pt idx="10">
                  <c:v>550636.644088535</c:v>
                </c:pt>
                <c:pt idx="11">
                  <c:v>482901.630432959</c:v>
                </c:pt>
                <c:pt idx="12">
                  <c:v>423549.403815192</c:v>
                </c:pt>
                <c:pt idx="13">
                  <c:v>371535.730422048</c:v>
                </c:pt>
                <c:pt idx="14">
                  <c:v>325947.367486159</c:v>
                </c:pt>
                <c:pt idx="15">
                  <c:v>285985.50912575</c:v>
                </c:pt>
                <c:pt idx="16">
                  <c:v>250951.340623817</c:v>
                </c:pt>
                <c:pt idx="17">
                  <c:v>220233.430412708</c:v>
                </c:pt>
                <c:pt idx="18">
                  <c:v>193296.724085731</c:v>
                </c:pt>
                <c:pt idx="19">
                  <c:v>169672.935235073</c:v>
                </c:pt>
                <c:pt idx="20">
                  <c:v>148952.15441797</c:v>
                </c:pt>
                <c:pt idx="21">
                  <c:v>130775.52060371</c:v>
                </c:pt>
                <c:pt idx="22">
                  <c:v>114828.819506049</c:v>
                </c:pt>
                <c:pt idx="23">
                  <c:v>100836.890652519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66161"/>
        <c:axId val="52670862"/>
      </c:lineChart>
      <c:catAx>
        <c:axId val="9466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 of licence term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70862"/>
        <c:crosses val="autoZero"/>
        <c:auto val="1"/>
        <c:lblAlgn val="ctr"/>
        <c:lblOffset val="100"/>
        <c:noMultiLvlLbl val="0"/>
      </c:catAx>
      <c:valAx>
        <c:axId val="52670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Viewing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61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net cash flow - active scenario, Structure 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Sensitivities!$E$69:$AB$69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Sensitivities!$E$74:$AB$74</c:f>
              <c:numCache>
                <c:formatCode>\$#,##0;"($"#,##0\);\-</c:formatCode>
                <c:ptCount val="24"/>
                <c:pt idx="0">
                  <c:v>-1012835.44330649</c:v>
                </c:pt>
                <c:pt idx="1">
                  <c:v>-822775.847688098</c:v>
                </c:pt>
                <c:pt idx="2">
                  <c:v>-603605.713736639</c:v>
                </c:pt>
                <c:pt idx="3">
                  <c:v>-397783.010237219</c:v>
                </c:pt>
                <c:pt idx="4">
                  <c:v>-180105.682175894</c:v>
                </c:pt>
                <c:pt idx="5">
                  <c:v>11111.4226190918</c:v>
                </c:pt>
                <c:pt idx="6">
                  <c:v>179100.517398435</c:v>
                </c:pt>
                <c:pt idx="7">
                  <c:v>326696.874440919</c:v>
                </c:pt>
                <c:pt idx="8">
                  <c:v>456387.855908476</c:v>
                </c:pt>
                <c:pt idx="9">
                  <c:v>570355.850320894</c:v>
                </c:pt>
                <c:pt idx="10">
                  <c:v>670515.877256989</c:v>
                </c:pt>
                <c:pt idx="11">
                  <c:v>508548.526779404</c:v>
                </c:pt>
                <c:pt idx="12">
                  <c:v>585928.816174412</c:v>
                </c:pt>
                <c:pt idx="13">
                  <c:v>653951.473334251</c:v>
                </c:pt>
                <c:pt idx="14">
                  <c:v>713753.092127386</c:v>
                </c:pt>
                <c:pt idx="15">
                  <c:v>766331.549216577</c:v>
                </c:pt>
                <c:pt idx="16">
                  <c:v>812563.022963339</c:v>
                </c:pt>
                <c:pt idx="17">
                  <c:v>603216.912400379</c:v>
                </c:pt>
                <c:pt idx="18">
                  <c:v>638968.916976754</c:v>
                </c:pt>
                <c:pt idx="19">
                  <c:v>670412.50520004</c:v>
                </c:pt>
                <c:pt idx="20">
                  <c:v>698068.971819668</c:v>
                </c:pt>
                <c:pt idx="21">
                  <c:v>722396.258295836</c:v>
                </c:pt>
                <c:pt idx="22">
                  <c:v>743796.689525671</c:v>
                </c:pt>
                <c:pt idx="23">
                  <c:v>762623.760756967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334834"/>
        <c:axId val="68140391"/>
      </c:lineChart>
      <c:catAx>
        <c:axId val="473348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 of licence term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40391"/>
        <c:crosses val="autoZero"/>
        <c:auto val="1"/>
        <c:lblAlgn val="ctr"/>
        <c:lblOffset val="100"/>
        <c:noMultiLvlLbl val="0"/>
      </c:catAx>
      <c:valAx>
        <c:axId val="68140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net cash flow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348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195</xdr:row>
      <xdr:rowOff>160920</xdr:rowOff>
    </xdr:from>
    <xdr:to>
      <xdr:col>3</xdr:col>
      <xdr:colOff>981720</xdr:colOff>
      <xdr:row>210</xdr:row>
      <xdr:rowOff>182880</xdr:rowOff>
    </xdr:to>
    <xdr:graphicFrame>
      <xdr:nvGraphicFramePr>
        <xdr:cNvPr id="0" name="Chart 1"/>
        <xdr:cNvGraphicFramePr/>
      </xdr:nvGraphicFramePr>
      <xdr:xfrm>
        <a:off x="0" y="37338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160560</xdr:rowOff>
    </xdr:from>
    <xdr:to>
      <xdr:col>2</xdr:col>
      <xdr:colOff>1341720</xdr:colOff>
      <xdr:row>93</xdr:row>
      <xdr:rowOff>2880</xdr:rowOff>
    </xdr:to>
    <xdr:graphicFrame>
      <xdr:nvGraphicFramePr>
        <xdr:cNvPr id="1" name="Chart 1"/>
        <xdr:cNvGraphicFramePr/>
      </xdr:nvGraphicFramePr>
      <xdr:xfrm>
        <a:off x="0" y="15258960"/>
        <a:ext cx="68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97</xdr:row>
      <xdr:rowOff>160560</xdr:rowOff>
    </xdr:from>
    <xdr:to>
      <xdr:col>2</xdr:col>
      <xdr:colOff>1341720</xdr:colOff>
      <xdr:row>112</xdr:row>
      <xdr:rowOff>2520</xdr:rowOff>
    </xdr:to>
    <xdr:graphicFrame>
      <xdr:nvGraphicFramePr>
        <xdr:cNvPr id="2" name="Chart 2"/>
        <xdr:cNvGraphicFramePr/>
      </xdr:nvGraphicFramePr>
      <xdr:xfrm>
        <a:off x="0" y="18878400"/>
        <a:ext cx="68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  <col collapsed="false" customWidth="true" hidden="false" outlineLevel="0" max="2" min="2" style="0" width="96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15" hidden="false" customHeight="false" outlineLevel="0" collapsed="false">
      <c r="A6" s="5" t="s">
        <v>4</v>
      </c>
      <c r="B6" s="6"/>
      <c r="C6" s="6"/>
      <c r="D6" s="6"/>
      <c r="E6" s="6"/>
      <c r="F6" s="6"/>
    </row>
    <row r="7" customFormat="false" ht="23.85" hidden="false" customHeight="false" outlineLevel="0" collapsed="false">
      <c r="A7" s="7" t="s">
        <v>5</v>
      </c>
    </row>
    <row r="8" customFormat="false" ht="23.85" hidden="false" customHeight="false" outlineLevel="0" collapsed="false">
      <c r="A8" s="7" t="s">
        <v>6</v>
      </c>
    </row>
    <row r="10" customFormat="false" ht="15" hidden="false" customHeight="false" outlineLevel="0" collapsed="false">
      <c r="A10" s="5" t="s">
        <v>7</v>
      </c>
      <c r="B10" s="6"/>
      <c r="C10" s="6"/>
      <c r="D10" s="6"/>
      <c r="E10" s="6"/>
      <c r="F10" s="6"/>
    </row>
    <row r="11" customFormat="false" ht="23.85" hidden="false" customHeight="false" outlineLevel="0" collapsed="false">
      <c r="A11" s="7" t="s">
        <v>8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7" t="s">
        <v>10</v>
      </c>
    </row>
    <row r="14" customFormat="false" ht="15" hidden="false" customHeight="false" outlineLevel="0" collapsed="false">
      <c r="A14" s="7" t="s">
        <v>11</v>
      </c>
    </row>
    <row r="16" customFormat="false" ht="15" hidden="false" customHeight="false" outlineLevel="0" collapsed="false">
      <c r="A16" s="5" t="s">
        <v>12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8" t="s">
        <v>13</v>
      </c>
      <c r="B17" s="9" t="s">
        <v>14</v>
      </c>
    </row>
    <row r="18" customFormat="false" ht="15" hidden="false" customHeight="false" outlineLevel="0" collapsed="false">
      <c r="A18" s="8" t="s">
        <v>15</v>
      </c>
      <c r="B18" s="9" t="s">
        <v>16</v>
      </c>
    </row>
    <row r="19" customFormat="false" ht="15" hidden="false" customHeight="false" outlineLevel="0" collapsed="false">
      <c r="A19" s="8" t="s">
        <v>17</v>
      </c>
      <c r="B19" s="9" t="s">
        <v>18</v>
      </c>
    </row>
    <row r="20" customFormat="false" ht="15" hidden="false" customHeight="false" outlineLevel="0" collapsed="false">
      <c r="A20" s="8" t="s">
        <v>19</v>
      </c>
      <c r="B20" s="9" t="s">
        <v>20</v>
      </c>
    </row>
    <row r="21" customFormat="false" ht="15" hidden="false" customHeight="false" outlineLevel="0" collapsed="false">
      <c r="A21" s="8" t="s">
        <v>21</v>
      </c>
      <c r="B21" s="9" t="s">
        <v>22</v>
      </c>
    </row>
    <row r="22" customFormat="false" ht="15" hidden="false" customHeight="false" outlineLevel="0" collapsed="false">
      <c r="A22" s="8" t="s">
        <v>23</v>
      </c>
      <c r="B22" s="9" t="s">
        <v>24</v>
      </c>
    </row>
    <row r="23" customFormat="false" ht="15" hidden="false" customHeight="false" outlineLevel="0" collapsed="false">
      <c r="A23" s="8" t="s">
        <v>25</v>
      </c>
      <c r="B23" s="9" t="s">
        <v>26</v>
      </c>
    </row>
    <row r="24" customFormat="false" ht="15" hidden="false" customHeight="false" outlineLevel="0" collapsed="false">
      <c r="A24" s="8" t="s">
        <v>27</v>
      </c>
      <c r="B24" s="9" t="s">
        <v>28</v>
      </c>
    </row>
    <row r="25" customFormat="false" ht="15" hidden="false" customHeight="false" outlineLevel="0" collapsed="false">
      <c r="A25" s="8" t="s">
        <v>29</v>
      </c>
      <c r="B25" s="9" t="s">
        <v>30</v>
      </c>
    </row>
    <row r="27" customFormat="false" ht="15" hidden="false" customHeight="false" outlineLevel="0" collapsed="false">
      <c r="A27" s="5" t="s">
        <v>31</v>
      </c>
      <c r="B27" s="6"/>
      <c r="C27" s="6"/>
      <c r="D27" s="6"/>
      <c r="E27" s="6"/>
      <c r="F27" s="6"/>
    </row>
    <row r="28" customFormat="false" ht="15" hidden="false" customHeight="false" outlineLevel="0" collapsed="false">
      <c r="A28" s="10" t="s">
        <v>32</v>
      </c>
    </row>
    <row r="29" customFormat="false" ht="15" hidden="false" customHeight="false" outlineLevel="0" collapsed="false">
      <c r="A29" s="9" t="s">
        <v>33</v>
      </c>
    </row>
    <row r="30" customFormat="false" ht="15" hidden="false" customHeight="false" outlineLevel="0" collapsed="false">
      <c r="A30" s="11" t="s">
        <v>34</v>
      </c>
    </row>
    <row r="31" customFormat="false" ht="15" hidden="false" customHeight="false" outlineLevel="0" collapsed="false">
      <c r="A31" s="8" t="s">
        <v>35</v>
      </c>
    </row>
    <row r="33" customFormat="false" ht="15" hidden="false" customHeight="false" outlineLevel="0" collapsed="false">
      <c r="A33" s="5" t="s">
        <v>36</v>
      </c>
      <c r="B33" s="6"/>
      <c r="C33" s="6"/>
      <c r="D33" s="6"/>
      <c r="E33" s="6"/>
      <c r="F33" s="6"/>
    </row>
    <row r="34" customFormat="false" ht="15" hidden="false" customHeight="false" outlineLevel="0" collapsed="false">
      <c r="A34" s="9" t="s">
        <v>37</v>
      </c>
    </row>
    <row r="35" customFormat="false" ht="15" hidden="false" customHeight="false" outlineLevel="0" collapsed="false">
      <c r="A35" s="9" t="s">
        <v>38</v>
      </c>
    </row>
    <row r="36" customFormat="false" ht="15" hidden="false" customHeight="false" outlineLevel="0" collapsed="false">
      <c r="A36" s="9" t="s">
        <v>39</v>
      </c>
    </row>
    <row r="37" customFormat="false" ht="15" hidden="false" customHeight="false" outlineLevel="0" collapsed="false">
      <c r="A37" s="9" t="s">
        <v>40</v>
      </c>
    </row>
    <row r="38" customFormat="false" ht="15" hidden="false" customHeight="false" outlineLevel="0" collapsed="false">
      <c r="A38" s="9" t="s">
        <v>41</v>
      </c>
    </row>
    <row r="39" customFormat="false" ht="15" hidden="false" customHeight="false" outlineLevel="0" collapsed="false">
      <c r="A39" s="9" t="s">
        <v>42</v>
      </c>
    </row>
    <row r="40" customFormat="false" ht="15" hidden="false" customHeight="false" outlineLevel="0" collapsed="false">
      <c r="A40" s="9" t="s">
        <v>43</v>
      </c>
    </row>
    <row r="41" customFormat="false" ht="15" hidden="false" customHeight="false" outlineLevel="0" collapsed="false">
      <c r="A41" s="9" t="s">
        <v>44</v>
      </c>
    </row>
    <row r="42" customFormat="false" ht="15" hidden="false" customHeight="false" outlineLevel="0" collapsed="false">
      <c r="A42" s="9" t="s">
        <v>45</v>
      </c>
    </row>
    <row r="44" customFormat="false" ht="15" hidden="false" customHeight="false" outlineLevel="0" collapsed="false">
      <c r="A44" s="5" t="s">
        <v>46</v>
      </c>
      <c r="B44" s="6"/>
      <c r="C44" s="6"/>
      <c r="D44" s="6"/>
      <c r="E44" s="6"/>
      <c r="F44" s="6"/>
    </row>
    <row r="45" customFormat="false" ht="15" hidden="false" customHeight="false" outlineLevel="0" collapsed="false">
      <c r="A45" s="7" t="s">
        <v>47</v>
      </c>
    </row>
    <row r="46" customFormat="false" ht="23.85" hidden="false" customHeight="false" outlineLevel="0" collapsed="false">
      <c r="A46" s="7" t="s">
        <v>48</v>
      </c>
    </row>
    <row r="47" customFormat="false" ht="23.85" hidden="false" customHeight="false" outlineLevel="0" collapsed="false">
      <c r="A47" s="7" t="s">
        <v>49</v>
      </c>
    </row>
    <row r="48" customFormat="false" ht="23.85" hidden="false" customHeight="false" outlineLevel="0" collapsed="false">
      <c r="A48" s="7" t="s">
        <v>50</v>
      </c>
    </row>
    <row r="50" customFormat="false" ht="15" hidden="false" customHeight="false" outlineLevel="0" collapsed="false">
      <c r="A50" s="5" t="s">
        <v>51</v>
      </c>
      <c r="B50" s="6"/>
      <c r="C50" s="6"/>
      <c r="D50" s="6"/>
      <c r="E50" s="6"/>
      <c r="F50" s="6"/>
    </row>
    <row r="51" customFormat="false" ht="15" hidden="false" customHeight="false" outlineLevel="0" collapsed="false">
      <c r="A51" s="9" t="s">
        <v>52</v>
      </c>
    </row>
    <row r="52" customFormat="false" ht="15" hidden="false" customHeight="false" outlineLevel="0" collapsed="false">
      <c r="A52" s="9" t="s">
        <v>53</v>
      </c>
    </row>
    <row r="53" customFormat="false" ht="15" hidden="false" customHeight="false" outlineLevel="0" collapsed="false">
      <c r="A53" s="9" t="s">
        <v>54</v>
      </c>
    </row>
    <row r="54" customFormat="false" ht="15" hidden="false" customHeight="false" outlineLevel="0" collapsed="false">
      <c r="A54" s="9" t="s">
        <v>55</v>
      </c>
    </row>
    <row r="55" customFormat="false" ht="15" hidden="false" customHeight="false" outlineLevel="0" collapsed="false">
      <c r="A55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57</v>
      </c>
    </row>
    <row r="3" customFormat="false" ht="15" hidden="false" customHeight="false" outlineLevel="0" collapsed="false">
      <c r="A3" s="14" t="s">
        <v>3</v>
      </c>
    </row>
    <row r="5" customFormat="false" ht="15" hidden="false" customHeight="false" outlineLevel="0" collapsed="false">
      <c r="A5" s="5" t="s">
        <v>58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9" t="s">
        <v>59</v>
      </c>
      <c r="C6" s="15" t="s">
        <v>60</v>
      </c>
    </row>
    <row r="7" customFormat="false" ht="15" hidden="false" customHeight="false" outlineLevel="0" collapsed="false">
      <c r="A7" s="9" t="s">
        <v>61</v>
      </c>
      <c r="C7" s="15" t="s">
        <v>62</v>
      </c>
    </row>
    <row r="8" customFormat="false" ht="15" hidden="false" customHeight="false" outlineLevel="0" collapsed="false">
      <c r="A8" s="9" t="s">
        <v>63</v>
      </c>
      <c r="C8" s="16" t="n">
        <v>24</v>
      </c>
      <c r="E8" s="14" t="s">
        <v>64</v>
      </c>
    </row>
    <row r="9" customFormat="false" ht="15" hidden="false" customHeight="false" outlineLevel="0" collapsed="false">
      <c r="A9" s="9" t="s">
        <v>65</v>
      </c>
      <c r="C9" s="16" t="n">
        <v>5</v>
      </c>
    </row>
    <row r="10" customFormat="false" ht="15" hidden="false" customHeight="false" outlineLevel="0" collapsed="false">
      <c r="A10" s="9" t="s">
        <v>66</v>
      </c>
      <c r="C10" s="17" t="n">
        <v>2500000</v>
      </c>
      <c r="E10" s="14" t="s">
        <v>67</v>
      </c>
    </row>
    <row r="12" customFormat="false" ht="15" hidden="false" customHeight="false" outlineLevel="0" collapsed="false">
      <c r="A12" s="5" t="s">
        <v>68</v>
      </c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9" t="s">
        <v>69</v>
      </c>
      <c r="C13" s="18" t="n">
        <v>0.12</v>
      </c>
      <c r="E13" s="14" t="s">
        <v>70</v>
      </c>
    </row>
    <row r="14" customFormat="false" ht="15" hidden="false" customHeight="false" outlineLevel="0" collapsed="false">
      <c r="A14" s="9" t="s">
        <v>71</v>
      </c>
      <c r="C14" s="19" t="n">
        <f aca="false">(1+Assumptions!$C$13)^(1/12)-1</f>
        <v>0.00948879293458305</v>
      </c>
      <c r="E14" s="14" t="s">
        <v>72</v>
      </c>
    </row>
    <row r="15" customFormat="false" ht="15" hidden="false" customHeight="false" outlineLevel="0" collapsed="false">
      <c r="A15" s="9" t="s">
        <v>73</v>
      </c>
      <c r="C15" s="18" t="n">
        <v>0.2</v>
      </c>
      <c r="E15" s="14" t="s">
        <v>74</v>
      </c>
    </row>
    <row r="16" customFormat="false" ht="15" hidden="false" customHeight="false" outlineLevel="0" collapsed="false">
      <c r="A16" s="9" t="s">
        <v>75</v>
      </c>
      <c r="C16" s="18" t="n">
        <v>0.88</v>
      </c>
      <c r="E16" s="14" t="s">
        <v>76</v>
      </c>
    </row>
    <row r="18" customFormat="false" ht="15" hidden="false" customHeight="false" outlineLevel="0" collapsed="false">
      <c r="A18" s="5" t="s">
        <v>77</v>
      </c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9" t="s">
        <v>78</v>
      </c>
      <c r="C19" s="20" t="n">
        <v>0.045</v>
      </c>
      <c r="E19" s="14" t="s">
        <v>79</v>
      </c>
    </row>
    <row r="20" customFormat="false" ht="15" hidden="false" customHeight="false" outlineLevel="0" collapsed="false">
      <c r="A20" s="9" t="s">
        <v>80</v>
      </c>
      <c r="C20" s="20" t="n">
        <v>0.019</v>
      </c>
      <c r="E20" s="14" t="s">
        <v>81</v>
      </c>
    </row>
    <row r="22" customFormat="false" ht="15" hidden="false" customHeight="false" outlineLevel="0" collapsed="false">
      <c r="A22" s="5" t="s">
        <v>82</v>
      </c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9" t="s">
        <v>83</v>
      </c>
      <c r="C23" s="18" t="n">
        <v>0.55</v>
      </c>
    </row>
    <row r="24" customFormat="false" ht="15" hidden="false" customHeight="false" outlineLevel="0" collapsed="false">
      <c r="A24" s="9" t="s">
        <v>84</v>
      </c>
      <c r="C24" s="18" t="n">
        <v>0.25</v>
      </c>
    </row>
    <row r="25" customFormat="false" ht="15" hidden="false" customHeight="false" outlineLevel="0" collapsed="false">
      <c r="A25" s="9" t="s">
        <v>85</v>
      </c>
      <c r="C25" s="18" t="n">
        <v>0.12</v>
      </c>
    </row>
    <row r="26" customFormat="false" ht="15" hidden="false" customHeight="false" outlineLevel="0" collapsed="false">
      <c r="A26" s="9" t="s">
        <v>86</v>
      </c>
      <c r="C26" s="18" t="n">
        <v>0.08</v>
      </c>
    </row>
    <row r="27" customFormat="false" ht="15" hidden="false" customHeight="false" outlineLevel="0" collapsed="false">
      <c r="A27" s="9" t="s">
        <v>87</v>
      </c>
      <c r="C27" s="21" t="n">
        <f aca="false">SUM(C23:C26)</f>
        <v>1</v>
      </c>
    </row>
    <row r="29" customFormat="false" ht="15" hidden="false" customHeight="false" outlineLevel="0" collapsed="false">
      <c r="A29" s="5" t="s">
        <v>88</v>
      </c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9" t="s">
        <v>89</v>
      </c>
      <c r="C30" s="18" t="n">
        <v>0.5</v>
      </c>
      <c r="E30" s="14" t="s">
        <v>90</v>
      </c>
    </row>
    <row r="31" customFormat="false" ht="15" hidden="false" customHeight="false" outlineLevel="0" collapsed="false">
      <c r="A31" s="9" t="s">
        <v>91</v>
      </c>
      <c r="C31" s="16" t="n">
        <v>1</v>
      </c>
    </row>
    <row r="32" customFormat="false" ht="15" hidden="false" customHeight="false" outlineLevel="0" collapsed="false">
      <c r="A32" s="9" t="s">
        <v>92</v>
      </c>
      <c r="C32" s="18" t="n">
        <v>0.5</v>
      </c>
      <c r="E32" s="14" t="s">
        <v>93</v>
      </c>
    </row>
    <row r="33" customFormat="false" ht="15" hidden="false" customHeight="false" outlineLevel="0" collapsed="false">
      <c r="A33" s="9" t="s">
        <v>94</v>
      </c>
      <c r="C33" s="16" t="n">
        <v>7</v>
      </c>
    </row>
    <row r="34" customFormat="false" ht="15" hidden="false" customHeight="false" outlineLevel="0" collapsed="false">
      <c r="A34" s="9" t="s">
        <v>95</v>
      </c>
      <c r="C34" s="22" t="n">
        <f aca="false">Assumptions!$C$30/(1+Assumptions!$C$14)^Assumptions!$C$31+Assumptions!$C$32/(1+Assumptions!$C$14)^Assumptions!$C$33</f>
        <v>0.963314895685574</v>
      </c>
      <c r="E34" s="14" t="s">
        <v>96</v>
      </c>
    </row>
    <row r="36" customFormat="false" ht="15" hidden="false" customHeight="false" outlineLevel="0" collapsed="false">
      <c r="A36" s="5" t="s">
        <v>97</v>
      </c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9" t="s">
        <v>98</v>
      </c>
      <c r="C37" s="17" t="n">
        <v>950000</v>
      </c>
      <c r="E37" s="14" t="s">
        <v>99</v>
      </c>
    </row>
    <row r="38" customFormat="false" ht="15" hidden="false" customHeight="false" outlineLevel="0" collapsed="false">
      <c r="A38" s="9" t="s">
        <v>100</v>
      </c>
      <c r="C38" s="18" t="n">
        <v>0.28</v>
      </c>
    </row>
    <row r="40" customFormat="false" ht="15" hidden="false" customHeight="false" outlineLevel="0" collapsed="false">
      <c r="A40" s="5" t="s">
        <v>101</v>
      </c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9" t="s">
        <v>102</v>
      </c>
      <c r="C41" s="17" t="n">
        <v>850000</v>
      </c>
      <c r="E41" s="14" t="s">
        <v>103</v>
      </c>
    </row>
    <row r="42" customFormat="false" ht="15" hidden="false" customHeight="false" outlineLevel="0" collapsed="false">
      <c r="A42" s="9" t="s">
        <v>104</v>
      </c>
      <c r="C42" s="17" t="n">
        <v>250000</v>
      </c>
    </row>
    <row r="43" customFormat="false" ht="15" hidden="false" customHeight="false" outlineLevel="0" collapsed="false">
      <c r="A43" s="9" t="s">
        <v>105</v>
      </c>
      <c r="C43" s="16" t="n">
        <v>12750000</v>
      </c>
    </row>
    <row r="44" customFormat="false" ht="15" hidden="false" customHeight="false" outlineLevel="0" collapsed="false">
      <c r="A44" s="9" t="s">
        <v>106</v>
      </c>
      <c r="C44" s="17" t="n">
        <v>250000</v>
      </c>
    </row>
    <row r="45" customFormat="false" ht="15" hidden="false" customHeight="false" outlineLevel="0" collapsed="false">
      <c r="A45" s="9" t="s">
        <v>107</v>
      </c>
      <c r="C45" s="16" t="n">
        <v>14500000</v>
      </c>
    </row>
    <row r="46" customFormat="false" ht="15" hidden="false" customHeight="false" outlineLevel="0" collapsed="false">
      <c r="A46" s="9" t="s">
        <v>108</v>
      </c>
      <c r="C46" s="17" t="n">
        <v>300000</v>
      </c>
    </row>
    <row r="47" customFormat="false" ht="15" hidden="false" customHeight="false" outlineLevel="0" collapsed="false">
      <c r="A47" s="9" t="s">
        <v>109</v>
      </c>
      <c r="C47" s="16" t="n">
        <v>17000000</v>
      </c>
    </row>
    <row r="49" customFormat="false" ht="15" hidden="false" customHeight="false" outlineLevel="0" collapsed="false">
      <c r="A49" s="1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7" min="3" style="0" width="22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111</v>
      </c>
    </row>
    <row r="3" customFormat="false" ht="15" hidden="false" customHeight="false" outlineLevel="0" collapsed="false">
      <c r="A3" s="14" t="s">
        <v>3</v>
      </c>
    </row>
    <row r="5" customFormat="false" ht="15" hidden="false" customHeight="false" outlineLevel="0" collapsed="false">
      <c r="A5" s="5" t="s">
        <v>112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23" t="s">
        <v>113</v>
      </c>
      <c r="C6" s="24" t="s">
        <v>114</v>
      </c>
      <c r="D6" s="24" t="s">
        <v>115</v>
      </c>
      <c r="E6" s="24" t="s">
        <v>116</v>
      </c>
      <c r="F6" s="24" t="s">
        <v>117</v>
      </c>
      <c r="G6" s="24" t="s">
        <v>118</v>
      </c>
      <c r="H6" s="24" t="s">
        <v>119</v>
      </c>
      <c r="I6" s="23" t="s">
        <v>120</v>
      </c>
    </row>
    <row r="7" customFormat="false" ht="15" hidden="false" customHeight="false" outlineLevel="0" collapsed="false">
      <c r="A7" s="9" t="s">
        <v>121</v>
      </c>
      <c r="C7" s="25" t="s">
        <v>122</v>
      </c>
      <c r="D7" s="25" t="s">
        <v>123</v>
      </c>
      <c r="E7" s="25" t="s">
        <v>124</v>
      </c>
      <c r="F7" s="25" t="s">
        <v>125</v>
      </c>
      <c r="G7" s="25" t="s">
        <v>126</v>
      </c>
    </row>
    <row r="8" customFormat="false" ht="15" hidden="false" customHeight="false" outlineLevel="0" collapsed="false">
      <c r="A8" s="9" t="s">
        <v>127</v>
      </c>
      <c r="C8" s="25" t="s">
        <v>128</v>
      </c>
      <c r="D8" s="25" t="s">
        <v>128</v>
      </c>
      <c r="E8" s="25" t="s">
        <v>129</v>
      </c>
      <c r="F8" s="25" t="s">
        <v>129</v>
      </c>
      <c r="G8" s="25" t="s">
        <v>129</v>
      </c>
    </row>
    <row r="9" customFormat="false" ht="15" hidden="false" customHeight="false" outlineLevel="0" collapsed="false">
      <c r="A9" s="9" t="s">
        <v>130</v>
      </c>
      <c r="C9" s="25" t="s">
        <v>131</v>
      </c>
      <c r="D9" s="25" t="s">
        <v>132</v>
      </c>
      <c r="E9" s="25" t="s">
        <v>133</v>
      </c>
      <c r="F9" s="25" t="s">
        <v>134</v>
      </c>
      <c r="G9" s="25" t="s">
        <v>135</v>
      </c>
    </row>
    <row r="10" customFormat="false" ht="15" hidden="false" customHeight="false" outlineLevel="0" collapsed="false">
      <c r="A10" s="9" t="s">
        <v>136</v>
      </c>
      <c r="C10" s="25" t="n">
        <v>2021</v>
      </c>
      <c r="D10" s="25" t="n">
        <v>2022</v>
      </c>
      <c r="E10" s="25" t="n">
        <v>2019</v>
      </c>
      <c r="F10" s="25" t="n">
        <v>2018</v>
      </c>
      <c r="G10" s="25" t="n">
        <v>2023</v>
      </c>
      <c r="I10" s="14" t="s">
        <v>137</v>
      </c>
    </row>
    <row r="11" customFormat="false" ht="15" hidden="false" customHeight="false" outlineLevel="0" collapsed="false">
      <c r="A11" s="9" t="s">
        <v>138</v>
      </c>
      <c r="C11" s="26" t="n">
        <v>118</v>
      </c>
      <c r="D11" s="26" t="n">
        <v>112</v>
      </c>
      <c r="E11" s="26" t="n">
        <v>106</v>
      </c>
      <c r="F11" s="26" t="n">
        <v>124</v>
      </c>
      <c r="G11" s="26" t="n">
        <v>99</v>
      </c>
    </row>
    <row r="12" customFormat="false" ht="15" hidden="false" customHeight="false" outlineLevel="0" collapsed="false">
      <c r="A12" s="9" t="s">
        <v>139</v>
      </c>
      <c r="C12" s="25" t="s">
        <v>140</v>
      </c>
      <c r="D12" s="25" t="s">
        <v>141</v>
      </c>
      <c r="E12" s="25" t="s">
        <v>141</v>
      </c>
      <c r="F12" s="25" t="s">
        <v>142</v>
      </c>
      <c r="G12" s="25" t="s">
        <v>143</v>
      </c>
      <c r="I12" s="14" t="s">
        <v>144</v>
      </c>
    </row>
    <row r="14" customFormat="false" ht="15" hidden="false" customHeight="false" outlineLevel="0" collapsed="false">
      <c r="A14" s="5" t="s">
        <v>145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9" t="s">
        <v>146</v>
      </c>
      <c r="C15" s="26" t="n">
        <v>3600000</v>
      </c>
      <c r="D15" s="26" t="n">
        <v>3050000</v>
      </c>
      <c r="E15" s="26" t="n">
        <v>2500000</v>
      </c>
      <c r="F15" s="26" t="n">
        <v>1650000</v>
      </c>
      <c r="G15" s="26" t="n">
        <v>850000</v>
      </c>
      <c r="H15" s="27" t="n">
        <f aca="false">SUM(C15:G15)</f>
        <v>11650000</v>
      </c>
      <c r="I15" s="14" t="s">
        <v>147</v>
      </c>
    </row>
    <row r="16" customFormat="false" ht="15" hidden="false" customHeight="false" outlineLevel="0" collapsed="false">
      <c r="A16" s="9" t="s">
        <v>148</v>
      </c>
      <c r="C16" s="28" t="n">
        <v>1.3</v>
      </c>
      <c r="D16" s="28" t="n">
        <v>1.24</v>
      </c>
      <c r="E16" s="28" t="n">
        <v>1.2</v>
      </c>
      <c r="F16" s="28" t="n">
        <v>1.13</v>
      </c>
      <c r="G16" s="28" t="n">
        <v>1.08</v>
      </c>
      <c r="I16" s="14" t="s">
        <v>149</v>
      </c>
    </row>
    <row r="17" customFormat="false" ht="15" hidden="false" customHeight="false" outlineLevel="0" collapsed="false">
      <c r="A17" s="9" t="s">
        <v>150</v>
      </c>
      <c r="C17" s="21" t="n">
        <f aca="false">C16-1</f>
        <v>0.3</v>
      </c>
      <c r="D17" s="21" t="n">
        <f aca="false">D16-1</f>
        <v>0.24</v>
      </c>
      <c r="E17" s="21" t="n">
        <f aca="false">E16-1</f>
        <v>0.2</v>
      </c>
      <c r="F17" s="21" t="n">
        <f aca="false">F16-1</f>
        <v>0.13</v>
      </c>
      <c r="G17" s="21" t="n">
        <f aca="false">G16-1</f>
        <v>0.0800000000000001</v>
      </c>
      <c r="I17" s="14" t="s">
        <v>151</v>
      </c>
    </row>
    <row r="18" customFormat="false" ht="15" hidden="false" customHeight="false" outlineLevel="0" collapsed="false">
      <c r="A18" s="9" t="s">
        <v>152</v>
      </c>
      <c r="C18" s="29" t="n">
        <v>0.64</v>
      </c>
      <c r="D18" s="29" t="n">
        <v>0.61</v>
      </c>
      <c r="E18" s="29" t="n">
        <v>0.59</v>
      </c>
      <c r="F18" s="29" t="n">
        <v>0.51</v>
      </c>
      <c r="G18" s="29" t="n">
        <v>0.45</v>
      </c>
    </row>
    <row r="19" customFormat="false" ht="15" hidden="false" customHeight="false" outlineLevel="0" collapsed="false">
      <c r="A19" s="9" t="s">
        <v>153</v>
      </c>
      <c r="C19" s="30" t="n">
        <f aca="false">C11*C18</f>
        <v>75.52</v>
      </c>
      <c r="D19" s="30" t="n">
        <f aca="false">D11*D18</f>
        <v>68.32</v>
      </c>
      <c r="E19" s="30" t="n">
        <f aca="false">E11*E18</f>
        <v>62.54</v>
      </c>
      <c r="F19" s="30" t="n">
        <f aca="false">F11*F18</f>
        <v>63.24</v>
      </c>
      <c r="G19" s="30" t="n">
        <f aca="false">G11*G18</f>
        <v>44.55</v>
      </c>
      <c r="I19" s="14" t="s">
        <v>154</v>
      </c>
    </row>
    <row r="20" customFormat="false" ht="15" hidden="false" customHeight="false" outlineLevel="0" collapsed="false">
      <c r="A20" s="9" t="s">
        <v>155</v>
      </c>
      <c r="C20" s="29" t="n">
        <v>0.115</v>
      </c>
      <c r="D20" s="29" t="n">
        <v>0.12</v>
      </c>
      <c r="E20" s="29" t="n">
        <v>0.128</v>
      </c>
      <c r="F20" s="29" t="n">
        <v>0.14</v>
      </c>
      <c r="G20" s="29" t="n">
        <v>0.15</v>
      </c>
      <c r="I20" s="14" t="s">
        <v>156</v>
      </c>
    </row>
    <row r="21" customFormat="false" ht="15" hidden="false" customHeight="false" outlineLevel="0" collapsed="false">
      <c r="A21" s="9" t="s">
        <v>157</v>
      </c>
      <c r="C21" s="22" t="n">
        <f aca="false">(1-(1-C20)^Assumptions!$C$8)/C20</f>
        <v>8.23226857695316</v>
      </c>
      <c r="D21" s="22" t="n">
        <f aca="false">(1-(1-D20)^Assumptions!$C$8)/D20</f>
        <v>7.94571627122117</v>
      </c>
      <c r="E21" s="22" t="n">
        <f aca="false">(1-(1-E20)^Assumptions!$C$8)/E20</f>
        <v>7.52063254666163</v>
      </c>
      <c r="F21" s="22" t="n">
        <f aca="false">(1-(1-F20)^Assumptions!$C$8)/F20</f>
        <v>6.95150435489541</v>
      </c>
      <c r="G21" s="22" t="n">
        <f aca="false">(1-(1-G20)^Assumptions!$C$8)/G20</f>
        <v>6.5317818835121</v>
      </c>
      <c r="I21" s="14" t="s">
        <v>158</v>
      </c>
    </row>
    <row r="23" customFormat="false" ht="15" hidden="false" customHeight="false" outlineLevel="0" collapsed="false">
      <c r="A23" s="5" t="s">
        <v>159</v>
      </c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9" t="s">
        <v>160</v>
      </c>
      <c r="C24" s="31" t="n">
        <v>16</v>
      </c>
      <c r="D24" s="31" t="n">
        <v>16</v>
      </c>
      <c r="E24" s="31" t="n">
        <v>15.5</v>
      </c>
      <c r="F24" s="31" t="n">
        <v>15</v>
      </c>
      <c r="G24" s="31" t="n">
        <v>15</v>
      </c>
      <c r="I24" s="14" t="s">
        <v>161</v>
      </c>
    </row>
    <row r="25" customFormat="false" ht="15" hidden="false" customHeight="false" outlineLevel="0" collapsed="false">
      <c r="A25" s="9" t="s">
        <v>162</v>
      </c>
      <c r="C25" s="29" t="n">
        <v>0.82</v>
      </c>
      <c r="D25" s="29" t="n">
        <v>0.81</v>
      </c>
      <c r="E25" s="29" t="n">
        <v>0.8</v>
      </c>
      <c r="F25" s="29" t="n">
        <v>0.77</v>
      </c>
      <c r="G25" s="29" t="n">
        <v>0.75</v>
      </c>
    </row>
    <row r="26" customFormat="false" ht="15" hidden="false" customHeight="false" outlineLevel="0" collapsed="false">
      <c r="A26" s="9" t="s">
        <v>163</v>
      </c>
      <c r="C26" s="32" t="n">
        <v>25.5</v>
      </c>
      <c r="D26" s="32" t="n">
        <v>24</v>
      </c>
      <c r="E26" s="32" t="n">
        <v>23</v>
      </c>
      <c r="F26" s="32" t="n">
        <v>21</v>
      </c>
      <c r="G26" s="32" t="n">
        <v>19.5</v>
      </c>
      <c r="I26" s="14" t="s">
        <v>164</v>
      </c>
    </row>
    <row r="27" customFormat="false" ht="15" hidden="false" customHeight="false" outlineLevel="0" collapsed="false">
      <c r="A27" s="9" t="s">
        <v>165</v>
      </c>
      <c r="C27" s="29" t="n">
        <v>0.62</v>
      </c>
      <c r="D27" s="29" t="n">
        <v>0.58</v>
      </c>
      <c r="E27" s="29" t="n">
        <v>0.55</v>
      </c>
      <c r="F27" s="29" t="n">
        <v>0.47</v>
      </c>
      <c r="G27" s="29" t="n">
        <v>0.4</v>
      </c>
      <c r="I27" s="14" t="s">
        <v>166</v>
      </c>
    </row>
    <row r="28" customFormat="false" ht="15" hidden="false" customHeight="false" outlineLevel="0" collapsed="false">
      <c r="A28" s="9" t="s">
        <v>167</v>
      </c>
      <c r="C28" s="21" t="n">
        <f aca="false">1-C27</f>
        <v>0.38</v>
      </c>
      <c r="D28" s="21" t="n">
        <f aca="false">1-D27</f>
        <v>0.42</v>
      </c>
      <c r="E28" s="21" t="n">
        <f aca="false">1-E27</f>
        <v>0.45</v>
      </c>
      <c r="F28" s="21" t="n">
        <f aca="false">1-F27</f>
        <v>0.53</v>
      </c>
      <c r="G28" s="21" t="n">
        <f aca="false">1-G27</f>
        <v>0.6</v>
      </c>
      <c r="I28" s="14" t="s">
        <v>168</v>
      </c>
    </row>
    <row r="30" customFormat="false" ht="15" hidden="false" customHeight="false" outlineLevel="0" collapsed="false">
      <c r="A30" s="5" t="s">
        <v>169</v>
      </c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9" t="s">
        <v>170</v>
      </c>
      <c r="C31" s="33" t="n">
        <v>165000</v>
      </c>
      <c r="D31" s="33" t="n">
        <v>130000</v>
      </c>
      <c r="E31" s="33" t="n">
        <v>100000</v>
      </c>
      <c r="F31" s="33" t="n">
        <v>72000</v>
      </c>
      <c r="G31" s="33" t="n">
        <v>58000</v>
      </c>
      <c r="H31" s="34" t="n">
        <f aca="false">SUM(C31:G31)</f>
        <v>525000</v>
      </c>
    </row>
    <row r="32" customFormat="false" ht="15" hidden="false" customHeight="false" outlineLevel="0" collapsed="false">
      <c r="A32" s="9" t="s">
        <v>171</v>
      </c>
      <c r="C32" s="33" t="n">
        <v>58000</v>
      </c>
      <c r="D32" s="33" t="n">
        <v>52000</v>
      </c>
      <c r="E32" s="33" t="n">
        <v>46000</v>
      </c>
      <c r="F32" s="33" t="n">
        <v>44000</v>
      </c>
      <c r="G32" s="33" t="n">
        <v>40000</v>
      </c>
      <c r="H32" s="34" t="n">
        <f aca="false">SUM(C32:G32)</f>
        <v>240000</v>
      </c>
    </row>
    <row r="33" customFormat="false" ht="15" hidden="false" customHeight="false" outlineLevel="0" collapsed="false">
      <c r="A33" s="9" t="s">
        <v>80</v>
      </c>
      <c r="C33" s="35" t="n">
        <f aca="false">Assumptions!$C$20</f>
        <v>0.019</v>
      </c>
      <c r="D33" s="35" t="n">
        <f aca="false">Assumptions!$C$20</f>
        <v>0.019</v>
      </c>
      <c r="E33" s="35" t="n">
        <f aca="false">Assumptions!$C$20</f>
        <v>0.019</v>
      </c>
      <c r="F33" s="35" t="n">
        <f aca="false">Assumptions!$C$20</f>
        <v>0.019</v>
      </c>
      <c r="G33" s="35" t="n">
        <f aca="false">Assumptions!$C$20</f>
        <v>0.019</v>
      </c>
      <c r="I33" s="14" t="s">
        <v>172</v>
      </c>
    </row>
    <row r="34" customFormat="false" ht="15" hidden="false" customHeight="false" outlineLevel="0" collapsed="false">
      <c r="A34" s="9" t="s">
        <v>78</v>
      </c>
      <c r="C34" s="35" t="n">
        <f aca="false">Assumptions!$C$19</f>
        <v>0.045</v>
      </c>
      <c r="D34" s="35" t="n">
        <f aca="false">Assumptions!$C$19</f>
        <v>0.045</v>
      </c>
      <c r="E34" s="35" t="n">
        <f aca="false">Assumptions!$C$19</f>
        <v>0.045</v>
      </c>
      <c r="F34" s="35" t="n">
        <f aca="false">Assumptions!$C$19</f>
        <v>0.045</v>
      </c>
      <c r="G34" s="35" t="n">
        <f aca="false">Assumptions!$C$19</f>
        <v>0.045</v>
      </c>
      <c r="I34" s="14" t="s">
        <v>173</v>
      </c>
    </row>
    <row r="35" customFormat="false" ht="15" hidden="false" customHeight="false" outlineLevel="0" collapsed="false">
      <c r="A35" s="9" t="s">
        <v>174</v>
      </c>
      <c r="C35" s="29" t="n">
        <v>0.32</v>
      </c>
      <c r="D35" s="29" t="n">
        <v>0.26</v>
      </c>
      <c r="E35" s="29" t="n">
        <v>0.2</v>
      </c>
      <c r="F35" s="29" t="n">
        <v>0.13</v>
      </c>
      <c r="G35" s="29" t="n">
        <v>0.09</v>
      </c>
      <c r="H35" s="36" t="n">
        <f aca="false">SUM(C35:G35)</f>
        <v>1</v>
      </c>
      <c r="I35" s="14" t="s">
        <v>175</v>
      </c>
    </row>
    <row r="37" customFormat="false" ht="15" hidden="false" customHeight="false" outlineLevel="0" collapsed="false">
      <c r="A37" s="5" t="s">
        <v>176</v>
      </c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9" t="s">
        <v>177</v>
      </c>
      <c r="C38" s="25" t="s">
        <v>178</v>
      </c>
      <c r="D38" s="25" t="s">
        <v>178</v>
      </c>
      <c r="E38" s="25" t="s">
        <v>179</v>
      </c>
      <c r="F38" s="25" t="s">
        <v>179</v>
      </c>
      <c r="G38" s="25" t="s">
        <v>180</v>
      </c>
    </row>
    <row r="39" customFormat="false" ht="15" hidden="false" customHeight="false" outlineLevel="0" collapsed="false">
      <c r="A39" s="9" t="s">
        <v>181</v>
      </c>
      <c r="C39" s="25" t="s">
        <v>180</v>
      </c>
      <c r="D39" s="25" t="s">
        <v>180</v>
      </c>
      <c r="E39" s="25" t="s">
        <v>179</v>
      </c>
      <c r="F39" s="25" t="s">
        <v>179</v>
      </c>
      <c r="G39" s="25" t="s">
        <v>178</v>
      </c>
    </row>
    <row r="40" customFormat="false" ht="15" hidden="false" customHeight="false" outlineLevel="0" collapsed="false">
      <c r="A40" s="9" t="s">
        <v>182</v>
      </c>
      <c r="C40" s="25" t="s">
        <v>183</v>
      </c>
      <c r="D40" s="25" t="s">
        <v>183</v>
      </c>
      <c r="E40" s="25" t="s">
        <v>184</v>
      </c>
      <c r="F40" s="25" t="s">
        <v>185</v>
      </c>
      <c r="G40" s="25" t="s">
        <v>186</v>
      </c>
    </row>
    <row r="42" customFormat="false" ht="15" hidden="false" customHeight="false" outlineLevel="0" collapsed="false">
      <c r="A42" s="14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28" min="5" style="0" width="12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188</v>
      </c>
    </row>
    <row r="3" customFormat="false" ht="15" hidden="false" customHeight="false" outlineLevel="0" collapsed="false">
      <c r="A3" s="14" t="s">
        <v>3</v>
      </c>
    </row>
    <row r="4" customFormat="false" ht="15" hidden="false" customHeight="false" outlineLevel="0" collapsed="false">
      <c r="A4" s="23" t="s">
        <v>189</v>
      </c>
      <c r="B4" s="23" t="s">
        <v>190</v>
      </c>
      <c r="C4" s="23" t="s">
        <v>191</v>
      </c>
      <c r="D4" s="24" t="s">
        <v>192</v>
      </c>
      <c r="E4" s="37" t="n">
        <v>1</v>
      </c>
      <c r="F4" s="37" t="n">
        <v>2</v>
      </c>
      <c r="G4" s="37" t="n">
        <v>3</v>
      </c>
      <c r="H4" s="37" t="n">
        <v>4</v>
      </c>
      <c r="I4" s="37" t="n">
        <v>5</v>
      </c>
      <c r="J4" s="37" t="n">
        <v>6</v>
      </c>
      <c r="K4" s="37" t="n">
        <v>7</v>
      </c>
      <c r="L4" s="37" t="n">
        <v>8</v>
      </c>
      <c r="M4" s="37" t="n">
        <v>9</v>
      </c>
      <c r="N4" s="37" t="n">
        <v>10</v>
      </c>
      <c r="O4" s="37" t="n">
        <v>11</v>
      </c>
      <c r="P4" s="37" t="n">
        <v>12</v>
      </c>
      <c r="Q4" s="37" t="n">
        <v>13</v>
      </c>
      <c r="R4" s="37" t="n">
        <v>14</v>
      </c>
      <c r="S4" s="37" t="n">
        <v>15</v>
      </c>
      <c r="T4" s="37" t="n">
        <v>16</v>
      </c>
      <c r="U4" s="37" t="n">
        <v>17</v>
      </c>
      <c r="V4" s="37" t="n">
        <v>18</v>
      </c>
      <c r="W4" s="37" t="n">
        <v>19</v>
      </c>
      <c r="X4" s="37" t="n">
        <v>20</v>
      </c>
      <c r="Y4" s="37" t="n">
        <v>21</v>
      </c>
      <c r="Z4" s="37" t="n">
        <v>22</v>
      </c>
      <c r="AA4" s="37" t="n">
        <v>23</v>
      </c>
      <c r="AB4" s="37" t="n">
        <v>24</v>
      </c>
    </row>
    <row r="6" customFormat="false" ht="15" hidden="false" customHeight="false" outlineLevel="0" collapsed="false">
      <c r="A6" s="38" t="s">
        <v>193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</row>
    <row r="7" customFormat="false" ht="15" hidden="false" customHeight="false" outlineLevel="0" collapsed="false">
      <c r="A7" s="14" t="s">
        <v>194</v>
      </c>
      <c r="B7" s="8" t="s">
        <v>122</v>
      </c>
      <c r="C7" s="9" t="s">
        <v>195</v>
      </c>
      <c r="D7" s="27" t="n">
        <f aca="false">SUM(E7:AB7)</f>
        <v>3334895.06676361</v>
      </c>
      <c r="E7" s="40" t="n">
        <f aca="false">Scenarios!$C$23*(1-Scenarios!$C$22)^(E$4-1)</f>
        <v>428557.446470697</v>
      </c>
      <c r="F7" s="40" t="n">
        <f aca="false">Scenarios!$C$23*(1-Scenarios!$C$22)^(F$4-1)</f>
        <v>375844.880554801</v>
      </c>
      <c r="G7" s="40" t="n">
        <f aca="false">Scenarios!$C$23*(1-Scenarios!$C$22)^(G$4-1)</f>
        <v>329615.96024656</v>
      </c>
      <c r="H7" s="40" t="n">
        <f aca="false">Scenarios!$C$23*(1-Scenarios!$C$22)^(H$4-1)</f>
        <v>289073.197136233</v>
      </c>
      <c r="I7" s="40" t="n">
        <f aca="false">Scenarios!$C$23*(1-Scenarios!$C$22)^(I$4-1)</f>
        <v>253517.193888477</v>
      </c>
      <c r="J7" s="40" t="n">
        <f aca="false">Scenarios!$C$23*(1-Scenarios!$C$22)^(J$4-1)</f>
        <v>222334.579040194</v>
      </c>
      <c r="K7" s="40" t="n">
        <f aca="false">Scenarios!$C$23*(1-Scenarios!$C$22)^(K$4-1)</f>
        <v>194987.42581825</v>
      </c>
      <c r="L7" s="40" t="n">
        <f aca="false">Scenarios!$C$23*(1-Scenarios!$C$22)^(L$4-1)</f>
        <v>171003.972442605</v>
      </c>
      <c r="M7" s="40" t="n">
        <f aca="false">Scenarios!$C$23*(1-Scenarios!$C$22)^(M$4-1)</f>
        <v>149970.483832165</v>
      </c>
      <c r="N7" s="40" t="n">
        <f aca="false">Scenarios!$C$23*(1-Scenarios!$C$22)^(N$4-1)</f>
        <v>131524.114320809</v>
      </c>
      <c r="O7" s="40" t="n">
        <f aca="false">Scenarios!$C$23*(1-Scenarios!$C$22)^(O$4-1)</f>
        <v>115346.648259349</v>
      </c>
      <c r="P7" s="40" t="n">
        <f aca="false">Scenarios!$C$23*(1-Scenarios!$C$22)^(P$4-1)</f>
        <v>101159.010523449</v>
      </c>
      <c r="Q7" s="40" t="n">
        <f aca="false">Scenarios!$C$23*(1-Scenarios!$C$22)^(Q$4-1)</f>
        <v>88716.452229065</v>
      </c>
      <c r="R7" s="40" t="n">
        <f aca="false">Scenarios!$C$23*(1-Scenarios!$C$22)^(R$4-1)</f>
        <v>77804.32860489</v>
      </c>
      <c r="S7" s="40" t="n">
        <f aca="false">Scenarios!$C$23*(1-Scenarios!$C$22)^(S$4-1)</f>
        <v>68234.3961864885</v>
      </c>
      <c r="T7" s="40" t="n">
        <f aca="false">Scenarios!$C$23*(1-Scenarios!$C$22)^(T$4-1)</f>
        <v>59841.5654555504</v>
      </c>
      <c r="U7" s="40" t="n">
        <f aca="false">Scenarios!$C$23*(1-Scenarios!$C$22)^(U$4-1)</f>
        <v>52481.0529045177</v>
      </c>
      <c r="V7" s="40" t="n">
        <f aca="false">Scenarios!$C$23*(1-Scenarios!$C$22)^(V$4-1)</f>
        <v>46025.8833972621</v>
      </c>
      <c r="W7" s="40" t="n">
        <f aca="false">Scenarios!$C$23*(1-Scenarios!$C$22)^(W$4-1)</f>
        <v>40364.6997393988</v>
      </c>
      <c r="X7" s="40" t="n">
        <f aca="false">Scenarios!$C$23*(1-Scenarios!$C$22)^(X$4-1)</f>
        <v>35399.8416714528</v>
      </c>
      <c r="Y7" s="40" t="n">
        <f aca="false">Scenarios!$C$23*(1-Scenarios!$C$22)^(Y$4-1)</f>
        <v>31045.6611458641</v>
      </c>
      <c r="Z7" s="40" t="n">
        <f aca="false">Scenarios!$C$23*(1-Scenarios!$C$22)^(Z$4-1)</f>
        <v>27227.0448249228</v>
      </c>
      <c r="AA7" s="40" t="n">
        <f aca="false">Scenarios!$C$23*(1-Scenarios!$C$22)^(AA$4-1)</f>
        <v>23878.1183114573</v>
      </c>
      <c r="AB7" s="40" t="n">
        <f aca="false">Scenarios!$C$23*(1-Scenarios!$C$22)^(AB$4-1)</f>
        <v>20941.109759148</v>
      </c>
    </row>
    <row r="8" customFormat="false" ht="15" hidden="false" customHeight="false" outlineLevel="0" collapsed="false">
      <c r="A8" s="14"/>
      <c r="B8" s="9"/>
      <c r="C8" s="9" t="s">
        <v>196</v>
      </c>
      <c r="D8" s="36" t="n">
        <f aca="false">SUM(E8:AB8)</f>
        <v>1</v>
      </c>
      <c r="E8" s="21" t="n">
        <f aca="false">E7/$D$7</f>
        <v>0.128507025825732</v>
      </c>
      <c r="F8" s="21" t="n">
        <f aca="false">F7/$D$7</f>
        <v>0.112700661649167</v>
      </c>
      <c r="G8" s="21" t="n">
        <f aca="false">G7/$D$7</f>
        <v>0.0988384802663193</v>
      </c>
      <c r="H8" s="21" t="n">
        <f aca="false">H7/$D$7</f>
        <v>0.086681347193562</v>
      </c>
      <c r="I8" s="21" t="n">
        <f aca="false">I7/$D$7</f>
        <v>0.0760195414887539</v>
      </c>
      <c r="J8" s="21" t="n">
        <f aca="false">J7/$D$7</f>
        <v>0.0666691378856372</v>
      </c>
      <c r="K8" s="21" t="n">
        <f aca="false">K7/$D$7</f>
        <v>0.0584688339257038</v>
      </c>
      <c r="L8" s="21" t="n">
        <f aca="false">L7/$D$7</f>
        <v>0.0512771673528422</v>
      </c>
      <c r="M8" s="21" t="n">
        <f aca="false">M7/$D$7</f>
        <v>0.0449700757684426</v>
      </c>
      <c r="N8" s="21" t="n">
        <f aca="false">N7/$D$7</f>
        <v>0.0394387564489242</v>
      </c>
      <c r="O8" s="21" t="n">
        <f aca="false">O7/$D$7</f>
        <v>0.0345877894057065</v>
      </c>
      <c r="P8" s="21" t="n">
        <f aca="false">P7/$D$7</f>
        <v>0.0303334913088046</v>
      </c>
      <c r="Q8" s="21" t="n">
        <f aca="false">Q7/$D$7</f>
        <v>0.0266024718778216</v>
      </c>
      <c r="R8" s="21" t="n">
        <f aca="false">R7/$D$7</f>
        <v>0.0233303678368496</v>
      </c>
      <c r="S8" s="21" t="n">
        <f aca="false">S7/$D$7</f>
        <v>0.0204607325929171</v>
      </c>
      <c r="T8" s="21" t="n">
        <f aca="false">T7/$D$7</f>
        <v>0.0179440624839883</v>
      </c>
      <c r="U8" s="21" t="n">
        <f aca="false">U7/$D$7</f>
        <v>0.0157369427984577</v>
      </c>
      <c r="V8" s="21" t="n">
        <f aca="false">V7/$D$7</f>
        <v>0.0138012988342474</v>
      </c>
      <c r="W8" s="21" t="n">
        <f aca="false">W7/$D$7</f>
        <v>0.012103739077635</v>
      </c>
      <c r="X8" s="21" t="n">
        <f aca="false">X7/$D$7</f>
        <v>0.0106149791710859</v>
      </c>
      <c r="Y8" s="21" t="n">
        <f aca="false">Y7/$D$7</f>
        <v>0.00930933673304232</v>
      </c>
      <c r="Z8" s="21" t="n">
        <f aca="false">Z7/$D$7</f>
        <v>0.00816428831487812</v>
      </c>
      <c r="AA8" s="21" t="n">
        <f aca="false">AA7/$D$7</f>
        <v>0.00716008085214811</v>
      </c>
      <c r="AB8" s="21" t="n">
        <f aca="false">AB7/$D$7</f>
        <v>0.00627939090733389</v>
      </c>
    </row>
    <row r="9" customFormat="false" ht="15" hidden="false" customHeight="false" outlineLevel="0" collapsed="false">
      <c r="A9" s="14"/>
      <c r="B9" s="9"/>
      <c r="C9" s="9" t="s">
        <v>197</v>
      </c>
      <c r="D9" s="27" t="n">
        <f aca="false">SUM(E9:AB9)</f>
        <v>5347642.08188487</v>
      </c>
      <c r="E9" s="40" t="n">
        <f aca="false">E7*'Title Inputs'!$C$16*'Title Inputs'!$C$11*Scenarios!$C$24/60</f>
        <v>687209.579123549</v>
      </c>
      <c r="F9" s="40" t="n">
        <f aca="false">F7*'Title Inputs'!$C$16*'Title Inputs'!$C$11*Scenarios!$C$24/60</f>
        <v>602682.800891353</v>
      </c>
      <c r="G9" s="40" t="n">
        <f aca="false">G7*'Title Inputs'!$C$16*'Title Inputs'!$C$11*Scenarios!$C$24/60</f>
        <v>528552.816381716</v>
      </c>
      <c r="H9" s="40" t="n">
        <f aca="false">H7*'Title Inputs'!$C$16*'Title Inputs'!$C$11*Scenarios!$C$24/60</f>
        <v>463540.819966765</v>
      </c>
      <c r="I9" s="40" t="n">
        <f aca="false">I7*'Title Inputs'!$C$16*'Title Inputs'!$C$11*Scenarios!$C$24/60</f>
        <v>406525.299110853</v>
      </c>
      <c r="J9" s="40" t="n">
        <f aca="false">J7*'Title Inputs'!$C$16*'Title Inputs'!$C$11*Scenarios!$C$24/60</f>
        <v>356522.687320218</v>
      </c>
      <c r="K9" s="40" t="n">
        <f aca="false">K7*'Title Inputs'!$C$16*'Title Inputs'!$C$11*Scenarios!$C$24/60</f>
        <v>312670.396779831</v>
      </c>
      <c r="L9" s="40" t="n">
        <f aca="false">L7*'Title Inputs'!$C$16*'Title Inputs'!$C$11*Scenarios!$C$24/60</f>
        <v>274211.937975912</v>
      </c>
      <c r="M9" s="40" t="n">
        <f aca="false">M7*'Title Inputs'!$C$16*'Title Inputs'!$C$11*Scenarios!$C$24/60</f>
        <v>240483.869604875</v>
      </c>
      <c r="N9" s="40" t="n">
        <f aca="false">N7*'Title Inputs'!$C$16*'Title Inputs'!$C$11*Scenarios!$C$24/60</f>
        <v>210904.353643475</v>
      </c>
      <c r="O9" s="40" t="n">
        <f aca="false">O7*'Title Inputs'!$C$16*'Title Inputs'!$C$11*Scenarios!$C$24/60</f>
        <v>184963.118145328</v>
      </c>
      <c r="P9" s="40" t="n">
        <f aca="false">P7*'Title Inputs'!$C$16*'Title Inputs'!$C$11*Scenarios!$C$24/60</f>
        <v>162212.654613453</v>
      </c>
      <c r="Q9" s="40" t="n">
        <f aca="false">Q7*'Title Inputs'!$C$16*'Title Inputs'!$C$11*Scenarios!$C$24/60</f>
        <v>142260.498095998</v>
      </c>
      <c r="R9" s="40" t="n">
        <f aca="false">R7*'Title Inputs'!$C$16*'Title Inputs'!$C$11*Scenarios!$C$24/60</f>
        <v>124762.45683019</v>
      </c>
      <c r="S9" s="40" t="n">
        <f aca="false">S7*'Title Inputs'!$C$16*'Title Inputs'!$C$11*Scenarios!$C$24/60</f>
        <v>109416.674640077</v>
      </c>
      <c r="T9" s="40" t="n">
        <f aca="false">T7*'Title Inputs'!$C$16*'Title Inputs'!$C$11*Scenarios!$C$24/60</f>
        <v>95958.4236593473</v>
      </c>
      <c r="U9" s="40" t="n">
        <f aca="false">U7*'Title Inputs'!$C$16*'Title Inputs'!$C$11*Scenarios!$C$24/60</f>
        <v>84155.5375492476</v>
      </c>
      <c r="V9" s="40" t="n">
        <f aca="false">V7*'Title Inputs'!$C$16*'Title Inputs'!$C$11*Scenarios!$C$24/60</f>
        <v>73804.4064306901</v>
      </c>
      <c r="W9" s="40" t="n">
        <f aca="false">W7*'Title Inputs'!$C$16*'Title Inputs'!$C$11*Scenarios!$C$24/60</f>
        <v>64726.4644397152</v>
      </c>
      <c r="X9" s="40" t="n">
        <f aca="false">X7*'Title Inputs'!$C$16*'Title Inputs'!$C$11*Scenarios!$C$24/60</f>
        <v>56765.1093136303</v>
      </c>
      <c r="Y9" s="40" t="n">
        <f aca="false">Y7*'Title Inputs'!$C$16*'Title Inputs'!$C$11*Scenarios!$C$24/60</f>
        <v>49783.0008680537</v>
      </c>
      <c r="Z9" s="40" t="n">
        <f aca="false">Z7*'Title Inputs'!$C$16*'Title Inputs'!$C$11*Scenarios!$C$24/60</f>
        <v>43659.6917612831</v>
      </c>
      <c r="AA9" s="40" t="n">
        <f aca="false">AA7*'Title Inputs'!$C$16*'Title Inputs'!$C$11*Scenarios!$C$24/60</f>
        <v>38289.5496746453</v>
      </c>
      <c r="AB9" s="40" t="n">
        <f aca="false">AB7*'Title Inputs'!$C$16*'Title Inputs'!$C$11*Scenarios!$C$24/60</f>
        <v>33579.9350646639</v>
      </c>
    </row>
    <row r="10" customFormat="false" ht="15" hidden="false" customHeight="false" outlineLevel="0" collapsed="false">
      <c r="A10" s="14"/>
      <c r="B10" s="9"/>
      <c r="C10" s="9" t="s">
        <v>198</v>
      </c>
      <c r="D10" s="27" t="n">
        <f aca="false">SUM(E10:AB10)</f>
        <v>68757842.8320429</v>
      </c>
      <c r="E10" s="40" t="n">
        <f aca="false">E9*'Title Inputs'!$C$24*Scenarios!$C$25</f>
        <v>8835865.88453895</v>
      </c>
      <c r="F10" s="40" t="n">
        <f aca="false">F9*'Title Inputs'!$C$24*Scenarios!$C$25</f>
        <v>7749054.38074066</v>
      </c>
      <c r="G10" s="40" t="n">
        <f aca="false">G9*'Title Inputs'!$C$24*Scenarios!$C$25</f>
        <v>6795920.69190956</v>
      </c>
      <c r="H10" s="40" t="n">
        <f aca="false">H9*'Title Inputs'!$C$24*Scenarios!$C$25</f>
        <v>5960022.44680468</v>
      </c>
      <c r="I10" s="40" t="n">
        <f aca="false">I9*'Title Inputs'!$C$24*Scenarios!$C$25</f>
        <v>5226939.6858477</v>
      </c>
      <c r="J10" s="40" t="n">
        <f aca="false">J9*'Title Inputs'!$C$24*Scenarios!$C$25</f>
        <v>4584026.10448844</v>
      </c>
      <c r="K10" s="40" t="n">
        <f aca="false">K9*'Title Inputs'!$C$24*Scenarios!$C$25</f>
        <v>4020190.89363636</v>
      </c>
      <c r="L10" s="40" t="n">
        <f aca="false">L9*'Title Inputs'!$C$24*Scenarios!$C$25</f>
        <v>3525707.41371909</v>
      </c>
      <c r="M10" s="40" t="n">
        <f aca="false">M9*'Title Inputs'!$C$24*Scenarios!$C$25</f>
        <v>3092045.40183164</v>
      </c>
      <c r="N10" s="40" t="n">
        <f aca="false">N9*'Title Inputs'!$C$24*Scenarios!$C$25</f>
        <v>2711723.81740635</v>
      </c>
      <c r="O10" s="40" t="n">
        <f aca="false">O9*'Title Inputs'!$C$24*Scenarios!$C$25</f>
        <v>2378181.78786537</v>
      </c>
      <c r="P10" s="40" t="n">
        <f aca="false">P9*'Title Inputs'!$C$24*Scenarios!$C$25</f>
        <v>2085665.42795793</v>
      </c>
      <c r="Q10" s="40" t="n">
        <f aca="false">Q9*'Title Inputs'!$C$24*Scenarios!$C$25</f>
        <v>1829128.5803191</v>
      </c>
      <c r="R10" s="40" t="n">
        <f aca="false">R9*'Title Inputs'!$C$24*Scenarios!$C$25</f>
        <v>1604145.76493985</v>
      </c>
      <c r="S10" s="40" t="n">
        <f aca="false">S9*'Title Inputs'!$C$24*Scenarios!$C$25</f>
        <v>1406835.83585225</v>
      </c>
      <c r="T10" s="40" t="n">
        <f aca="false">T9*'Title Inputs'!$C$24*Scenarios!$C$25</f>
        <v>1233795.02804242</v>
      </c>
      <c r="U10" s="40" t="n">
        <f aca="false">U9*'Title Inputs'!$C$24*Scenarios!$C$25</f>
        <v>1082038.23959321</v>
      </c>
      <c r="V10" s="40" t="n">
        <f aca="false">V9*'Title Inputs'!$C$24*Scenarios!$C$25</f>
        <v>948947.536123241</v>
      </c>
      <c r="W10" s="40" t="n">
        <f aca="false">W9*'Title Inputs'!$C$24*Scenarios!$C$25</f>
        <v>832226.989180083</v>
      </c>
      <c r="X10" s="40" t="n">
        <f aca="false">X9*'Title Inputs'!$C$24*Scenarios!$C$25</f>
        <v>729863.069510932</v>
      </c>
      <c r="Y10" s="40" t="n">
        <f aca="false">Y9*'Title Inputs'!$C$24*Scenarios!$C$25</f>
        <v>640089.911961088</v>
      </c>
      <c r="Z10" s="40" t="n">
        <f aca="false">Z9*'Title Inputs'!$C$24*Scenarios!$C$25</f>
        <v>561358.852789874</v>
      </c>
      <c r="AA10" s="40" t="n">
        <f aca="false">AA9*'Title Inputs'!$C$24*Scenarios!$C$25</f>
        <v>492311.713896719</v>
      </c>
      <c r="AB10" s="40" t="n">
        <f aca="false">AB9*'Title Inputs'!$C$24*Scenarios!$C$25</f>
        <v>431757.373087423</v>
      </c>
    </row>
    <row r="11" customFormat="false" ht="15" hidden="false" customHeight="false" outlineLevel="0" collapsed="false">
      <c r="A11" s="14"/>
      <c r="B11" s="9"/>
      <c r="C11" s="9" t="s">
        <v>199</v>
      </c>
      <c r="D11" s="34" t="n">
        <f aca="false">SUM(E11:AB11)</f>
        <v>1683191.99252841</v>
      </c>
      <c r="E11" s="41" t="n">
        <f aca="false">E10/1000*Scenarios!$C$26</f>
        <v>216301.996853513</v>
      </c>
      <c r="F11" s="41" t="n">
        <f aca="false">F10/1000*Scenarios!$C$26</f>
        <v>189696.851240531</v>
      </c>
      <c r="G11" s="41" t="n">
        <f aca="false">G10/1000*Scenarios!$C$26</f>
        <v>166364.138537946</v>
      </c>
      <c r="H11" s="41" t="n">
        <f aca="false">H10/1000*Scenarios!$C$26</f>
        <v>145901.349497779</v>
      </c>
      <c r="I11" s="41" t="n">
        <f aca="false">I10/1000*Scenarios!$C$26</f>
        <v>127955.483509552</v>
      </c>
      <c r="J11" s="41" t="n">
        <f aca="false">J10/1000*Scenarios!$C$26</f>
        <v>112216.959037877</v>
      </c>
      <c r="K11" s="41" t="n">
        <f aca="false">K10/1000*Scenarios!$C$26</f>
        <v>98414.2730762181</v>
      </c>
      <c r="L11" s="41" t="n">
        <f aca="false">L10/1000*Scenarios!$C$26</f>
        <v>86309.3174878433</v>
      </c>
      <c r="M11" s="41" t="n">
        <f aca="false">M10/1000*Scenarios!$C$26</f>
        <v>75693.2714368385</v>
      </c>
      <c r="N11" s="41" t="n">
        <f aca="false">N10/1000*Scenarios!$C$26</f>
        <v>66382.9990501074</v>
      </c>
      <c r="O11" s="41" t="n">
        <f aca="false">O10/1000*Scenarios!$C$26</f>
        <v>58217.8901669442</v>
      </c>
      <c r="P11" s="41" t="n">
        <f aca="false">P10/1000*Scenarios!$C$26</f>
        <v>51057.0896764101</v>
      </c>
      <c r="Q11" s="41" t="n">
        <f aca="false">Q10/1000*Scenarios!$C$26</f>
        <v>44777.0676462116</v>
      </c>
      <c r="R11" s="41" t="n">
        <f aca="false">R10/1000*Scenarios!$C$26</f>
        <v>39269.4883257276</v>
      </c>
      <c r="S11" s="41" t="n">
        <f aca="false">S10/1000*Scenarios!$C$26</f>
        <v>34439.3412616631</v>
      </c>
      <c r="T11" s="41" t="n">
        <f aca="false">T10/1000*Scenarios!$C$26</f>
        <v>30203.3022864785</v>
      </c>
      <c r="U11" s="41" t="n">
        <f aca="false">U10/1000*Scenarios!$C$26</f>
        <v>26488.2961052417</v>
      </c>
      <c r="V11" s="41" t="n">
        <f aca="false">V10/1000*Scenarios!$C$26</f>
        <v>23230.235684297</v>
      </c>
      <c r="W11" s="41" t="n">
        <f aca="false">W10/1000*Scenarios!$C$26</f>
        <v>20372.9166951284</v>
      </c>
      <c r="X11" s="41" t="n">
        <f aca="false">X10/1000*Scenarios!$C$26</f>
        <v>17867.0479416276</v>
      </c>
      <c r="Y11" s="41" t="n">
        <f aca="false">Y10/1000*Scenarios!$C$26</f>
        <v>15669.4010448074</v>
      </c>
      <c r="Z11" s="41" t="n">
        <f aca="false">Z10/1000*Scenarios!$C$26</f>
        <v>13742.0647162961</v>
      </c>
      <c r="AA11" s="41" t="n">
        <f aca="false">AA10/1000*Scenarios!$C$26</f>
        <v>12051.7907561917</v>
      </c>
      <c r="AB11" s="41" t="n">
        <f aca="false">AB10/1000*Scenarios!$C$26</f>
        <v>10569.4204931801</v>
      </c>
    </row>
    <row r="13" customFormat="false" ht="15" hidden="false" customHeight="false" outlineLevel="0" collapsed="false">
      <c r="A13" s="14" t="s">
        <v>194</v>
      </c>
      <c r="B13" s="8" t="s">
        <v>123</v>
      </c>
      <c r="C13" s="9" t="s">
        <v>195</v>
      </c>
      <c r="D13" s="27" t="n">
        <f aca="false">SUM(E13:AB13)</f>
        <v>2829093.05022501</v>
      </c>
      <c r="E13" s="40" t="n">
        <f aca="false">Scenarios!$D$23*(1-Scenarios!$D$22)^(E$4-1)</f>
        <v>376177.539943875</v>
      </c>
      <c r="F13" s="40" t="n">
        <f aca="false">Scenarios!$D$23*(1-Scenarios!$D$22)^(F$4-1)</f>
        <v>328026.814831059</v>
      </c>
      <c r="G13" s="40" t="n">
        <f aca="false">Scenarios!$D$23*(1-Scenarios!$D$22)^(G$4-1)</f>
        <v>286039.382532684</v>
      </c>
      <c r="H13" s="40" t="n">
        <f aca="false">Scenarios!$D$23*(1-Scenarios!$D$22)^(H$4-1)</f>
        <v>249426.3415685</v>
      </c>
      <c r="I13" s="40" t="n">
        <f aca="false">Scenarios!$D$23*(1-Scenarios!$D$22)^(I$4-1)</f>
        <v>217499.769847732</v>
      </c>
      <c r="J13" s="40" t="n">
        <f aca="false">Scenarios!$D$23*(1-Scenarios!$D$22)^(J$4-1)</f>
        <v>189659.799307222</v>
      </c>
      <c r="K13" s="40" t="n">
        <f aca="false">Scenarios!$D$23*(1-Scenarios!$D$22)^(K$4-1)</f>
        <v>165383.344995898</v>
      </c>
      <c r="L13" s="40" t="n">
        <f aca="false">Scenarios!$D$23*(1-Scenarios!$D$22)^(L$4-1)</f>
        <v>144214.276836423</v>
      </c>
      <c r="M13" s="40" t="n">
        <f aca="false">Scenarios!$D$23*(1-Scenarios!$D$22)^(M$4-1)</f>
        <v>125754.849401361</v>
      </c>
      <c r="N13" s="40" t="n">
        <f aca="false">Scenarios!$D$23*(1-Scenarios!$D$22)^(N$4-1)</f>
        <v>109658.228677987</v>
      </c>
      <c r="O13" s="40" t="n">
        <f aca="false">Scenarios!$D$23*(1-Scenarios!$D$22)^(O$4-1)</f>
        <v>95621.9754072044</v>
      </c>
      <c r="P13" s="40" t="n">
        <f aca="false">Scenarios!$D$23*(1-Scenarios!$D$22)^(P$4-1)</f>
        <v>83382.3625550822</v>
      </c>
      <c r="Q13" s="40" t="n">
        <f aca="false">Scenarios!$D$23*(1-Scenarios!$D$22)^(Q$4-1)</f>
        <v>72709.4201480317</v>
      </c>
      <c r="R13" s="40" t="n">
        <f aca="false">Scenarios!$D$23*(1-Scenarios!$D$22)^(R$4-1)</f>
        <v>63402.6143690836</v>
      </c>
      <c r="S13" s="40" t="n">
        <f aca="false">Scenarios!$D$23*(1-Scenarios!$D$22)^(S$4-1)</f>
        <v>55287.0797298409</v>
      </c>
      <c r="T13" s="40" t="n">
        <f aca="false">Scenarios!$D$23*(1-Scenarios!$D$22)^(T$4-1)</f>
        <v>48210.3335244213</v>
      </c>
      <c r="U13" s="40" t="n">
        <f aca="false">Scenarios!$D$23*(1-Scenarios!$D$22)^(U$4-1)</f>
        <v>42039.4108332954</v>
      </c>
      <c r="V13" s="40" t="n">
        <f aca="false">Scenarios!$D$23*(1-Scenarios!$D$22)^(V$4-1)</f>
        <v>36658.3662466336</v>
      </c>
      <c r="W13" s="40" t="n">
        <f aca="false">Scenarios!$D$23*(1-Scenarios!$D$22)^(W$4-1)</f>
        <v>31966.0953670645</v>
      </c>
      <c r="X13" s="40" t="n">
        <f aca="false">Scenarios!$D$23*(1-Scenarios!$D$22)^(X$4-1)</f>
        <v>27874.4351600802</v>
      </c>
      <c r="Y13" s="40" t="n">
        <f aca="false">Scenarios!$D$23*(1-Scenarios!$D$22)^(Y$4-1)</f>
        <v>24306.5074595899</v>
      </c>
      <c r="Z13" s="40" t="n">
        <f aca="false">Scenarios!$D$23*(1-Scenarios!$D$22)^(Z$4-1)</f>
        <v>21195.2745047624</v>
      </c>
      <c r="AA13" s="40" t="n">
        <f aca="false">Scenarios!$D$23*(1-Scenarios!$D$22)^(AA$4-1)</f>
        <v>18482.2793681528</v>
      </c>
      <c r="AB13" s="40" t="n">
        <f aca="false">Scenarios!$D$23*(1-Scenarios!$D$22)^(AB$4-1)</f>
        <v>16116.5476090293</v>
      </c>
    </row>
    <row r="14" customFormat="false" ht="15" hidden="false" customHeight="false" outlineLevel="0" collapsed="false">
      <c r="A14" s="14"/>
      <c r="B14" s="9"/>
      <c r="C14" s="9" t="s">
        <v>196</v>
      </c>
      <c r="D14" s="36" t="n">
        <f aca="false">SUM(E14:AB14)</f>
        <v>1</v>
      </c>
      <c r="E14" s="21" t="n">
        <f aca="false">E13/$D$13</f>
        <v>0.132967538806812</v>
      </c>
      <c r="F14" s="21" t="n">
        <f aca="false">F13/$D$13</f>
        <v>0.11594769383954</v>
      </c>
      <c r="G14" s="21" t="n">
        <f aca="false">G13/$D$13</f>
        <v>0.101106389028079</v>
      </c>
      <c r="H14" s="21" t="n">
        <f aca="false">H13/$D$13</f>
        <v>0.0881647712324845</v>
      </c>
      <c r="I14" s="21" t="n">
        <f aca="false">I13/$D$13</f>
        <v>0.0768796805147265</v>
      </c>
      <c r="J14" s="21" t="n">
        <f aca="false">J13/$D$13</f>
        <v>0.0670390814088415</v>
      </c>
      <c r="K14" s="21" t="n">
        <f aca="false">K13/$D$13</f>
        <v>0.0584580789885098</v>
      </c>
      <c r="L14" s="21" t="n">
        <f aca="false">L13/$D$13</f>
        <v>0.0509754448779805</v>
      </c>
      <c r="M14" s="21" t="n">
        <f aca="false">M13/$D$13</f>
        <v>0.044450587933599</v>
      </c>
      <c r="N14" s="21" t="n">
        <f aca="false">N13/$D$13</f>
        <v>0.0387609126780984</v>
      </c>
      <c r="O14" s="21" t="n">
        <f aca="false">O13/$D$13</f>
        <v>0.0337995158553018</v>
      </c>
      <c r="P14" s="21" t="n">
        <f aca="false">P13/$D$13</f>
        <v>0.0294731778258231</v>
      </c>
      <c r="Q14" s="21" t="n">
        <f aca="false">Q13/$D$13</f>
        <v>0.0257006110641178</v>
      </c>
      <c r="R14" s="21" t="n">
        <f aca="false">R13/$D$13</f>
        <v>0.0224109328479107</v>
      </c>
      <c r="S14" s="21" t="n">
        <f aca="false">S13/$D$13</f>
        <v>0.0195423334433781</v>
      </c>
      <c r="T14" s="21" t="n">
        <f aca="false">T13/$D$13</f>
        <v>0.0170409147626257</v>
      </c>
      <c r="U14" s="21" t="n">
        <f aca="false">U13/$D$13</f>
        <v>0.0148596776730096</v>
      </c>
      <c r="V14" s="21" t="n">
        <f aca="false">V13/$D$13</f>
        <v>0.0129576389308644</v>
      </c>
      <c r="W14" s="21" t="n">
        <f aca="false">W13/$D$13</f>
        <v>0.0112990611477138</v>
      </c>
      <c r="X14" s="21" t="n">
        <f aca="false">X13/$D$13</f>
        <v>0.0098527813208064</v>
      </c>
      <c r="Y14" s="21" t="n">
        <f aca="false">Y13/$D$13</f>
        <v>0.00859162531174318</v>
      </c>
      <c r="Z14" s="21" t="n">
        <f aca="false">Z13/$D$13</f>
        <v>0.00749189727184005</v>
      </c>
      <c r="AA14" s="21" t="n">
        <f aca="false">AA13/$D$13</f>
        <v>0.00653293442104453</v>
      </c>
      <c r="AB14" s="21" t="n">
        <f aca="false">AB13/$D$13</f>
        <v>0.00569671881515083</v>
      </c>
    </row>
    <row r="15" customFormat="false" ht="15" hidden="false" customHeight="false" outlineLevel="0" collapsed="false">
      <c r="A15" s="14"/>
      <c r="B15" s="9"/>
      <c r="C15" s="9" t="s">
        <v>197</v>
      </c>
      <c r="D15" s="27" t="n">
        <f aca="false">SUM(E15:AB15)</f>
        <v>3914637.93191594</v>
      </c>
      <c r="E15" s="40" t="n">
        <f aca="false">E13*'Title Inputs'!$D$16*'Title Inputs'!$D$11*Scenarios!$D$24/60</f>
        <v>520519.771126649</v>
      </c>
      <c r="F15" s="40" t="n">
        <f aca="false">F13*'Title Inputs'!$D$16*'Title Inputs'!$D$11*Scenarios!$D$24/60</f>
        <v>453893.240422438</v>
      </c>
      <c r="G15" s="40" t="n">
        <f aca="false">G13*'Title Inputs'!$D$16*'Title Inputs'!$D$11*Scenarios!$D$24/60</f>
        <v>395794.905648366</v>
      </c>
      <c r="H15" s="40" t="n">
        <f aca="false">H13*'Title Inputs'!$D$16*'Title Inputs'!$D$11*Scenarios!$D$24/60</f>
        <v>345133.157725375</v>
      </c>
      <c r="I15" s="40" t="n">
        <f aca="false">I13*'Title Inputs'!$D$16*'Title Inputs'!$D$11*Scenarios!$D$24/60</f>
        <v>300956.113536527</v>
      </c>
      <c r="J15" s="40" t="n">
        <f aca="false">J13*'Title Inputs'!$D$16*'Title Inputs'!$D$11*Scenarios!$D$24/60</f>
        <v>262433.731003852</v>
      </c>
      <c r="K15" s="40" t="n">
        <f aca="false">K13*'Title Inputs'!$D$16*'Title Inputs'!$D$11*Scenarios!$D$24/60</f>
        <v>228842.213435359</v>
      </c>
      <c r="L15" s="40" t="n">
        <f aca="false">L13*'Title Inputs'!$D$16*'Title Inputs'!$D$11*Scenarios!$D$24/60</f>
        <v>199550.410115633</v>
      </c>
      <c r="M15" s="40" t="n">
        <f aca="false">M13*'Title Inputs'!$D$16*'Title Inputs'!$D$11*Scenarios!$D$24/60</f>
        <v>174007.957620832</v>
      </c>
      <c r="N15" s="40" t="n">
        <f aca="false">N13*'Title Inputs'!$D$16*'Title Inputs'!$D$11*Scenarios!$D$24/60</f>
        <v>151734.939045365</v>
      </c>
      <c r="O15" s="40" t="n">
        <f aca="false">O13*'Title Inputs'!$D$16*'Title Inputs'!$D$11*Scenarios!$D$24/60</f>
        <v>132312.866847559</v>
      </c>
      <c r="P15" s="40" t="n">
        <f aca="false">P13*'Title Inputs'!$D$16*'Title Inputs'!$D$11*Scenarios!$D$24/60</f>
        <v>115376.819891071</v>
      </c>
      <c r="Q15" s="40" t="n">
        <f aca="false">Q13*'Title Inputs'!$D$16*'Title Inputs'!$D$11*Scenarios!$D$24/60</f>
        <v>100608.586945014</v>
      </c>
      <c r="R15" s="40" t="n">
        <f aca="false">R13*'Title Inputs'!$D$16*'Title Inputs'!$D$11*Scenarios!$D$24/60</f>
        <v>87730.6878160521</v>
      </c>
      <c r="S15" s="40" t="n">
        <f aca="false">S13*'Title Inputs'!$D$16*'Title Inputs'!$D$11*Scenarios!$D$24/60</f>
        <v>76501.1597755975</v>
      </c>
      <c r="T15" s="40" t="n">
        <f aca="false">T13*'Title Inputs'!$D$16*'Title Inputs'!$D$11*Scenarios!$D$24/60</f>
        <v>66709.011324321</v>
      </c>
      <c r="U15" s="40" t="n">
        <f aca="false">U13*'Title Inputs'!$D$16*'Title Inputs'!$D$11*Scenarios!$D$24/60</f>
        <v>58170.2578748079</v>
      </c>
      <c r="V15" s="40" t="n">
        <f aca="false">V13*'Title Inputs'!$D$16*'Title Inputs'!$D$11*Scenarios!$D$24/60</f>
        <v>50724.4648668325</v>
      </c>
      <c r="W15" s="40" t="n">
        <f aca="false">W13*'Title Inputs'!$D$16*'Title Inputs'!$D$11*Scenarios!$D$24/60</f>
        <v>44231.7333638779</v>
      </c>
      <c r="X15" s="40" t="n">
        <f aca="false">X13*'Title Inputs'!$D$16*'Title Inputs'!$D$11*Scenarios!$D$24/60</f>
        <v>38570.0714933016</v>
      </c>
      <c r="Y15" s="40" t="n">
        <f aca="false">Y13*'Title Inputs'!$D$16*'Title Inputs'!$D$11*Scenarios!$D$24/60</f>
        <v>33633.102342159</v>
      </c>
      <c r="Z15" s="40" t="n">
        <f aca="false">Z13*'Title Inputs'!$D$16*'Title Inputs'!$D$11*Scenarios!$D$24/60</f>
        <v>29328.0652423626</v>
      </c>
      <c r="AA15" s="40" t="n">
        <f aca="false">AA13*'Title Inputs'!$D$16*'Title Inputs'!$D$11*Scenarios!$D$24/60</f>
        <v>25574.0728913402</v>
      </c>
      <c r="AB15" s="40" t="n">
        <f aca="false">AB13*'Title Inputs'!$D$16*'Title Inputs'!$D$11*Scenarios!$D$24/60</f>
        <v>22300.5915612486</v>
      </c>
    </row>
    <row r="16" customFormat="false" ht="15" hidden="false" customHeight="false" outlineLevel="0" collapsed="false">
      <c r="A16" s="14"/>
      <c r="B16" s="9"/>
      <c r="C16" s="9" t="s">
        <v>198</v>
      </c>
      <c r="D16" s="27" t="n">
        <f aca="false">SUM(E16:AB16)</f>
        <v>49719033.445678</v>
      </c>
      <c r="E16" s="40" t="n">
        <f aca="false">E15*'Title Inputs'!$D$24*Scenarios!$D$25</f>
        <v>6611017.50912534</v>
      </c>
      <c r="F16" s="40" t="n">
        <f aca="false">F15*'Title Inputs'!$D$24*Scenarios!$D$25</f>
        <v>5764807.2679573</v>
      </c>
      <c r="G16" s="40" t="n">
        <f aca="false">G15*'Title Inputs'!$D$24*Scenarios!$D$25</f>
        <v>5026911.93765876</v>
      </c>
      <c r="H16" s="40" t="n">
        <f aca="false">H15*'Title Inputs'!$D$24*Scenarios!$D$25</f>
        <v>4383467.20963844</v>
      </c>
      <c r="I16" s="40" t="n">
        <f aca="false">I15*'Title Inputs'!$D$24*Scenarios!$D$25</f>
        <v>3822383.40680472</v>
      </c>
      <c r="J16" s="40" t="n">
        <f aca="false">J15*'Title Inputs'!$D$24*Scenarios!$D$25</f>
        <v>3333118.33073372</v>
      </c>
      <c r="K16" s="40" t="n">
        <f aca="false">K15*'Title Inputs'!$D$24*Scenarios!$D$25</f>
        <v>2906479.1843998</v>
      </c>
      <c r="L16" s="40" t="n">
        <f aca="false">L15*'Title Inputs'!$D$24*Scenarios!$D$25</f>
        <v>2534449.84879663</v>
      </c>
      <c r="M16" s="40" t="n">
        <f aca="false">M15*'Title Inputs'!$D$24*Scenarios!$D$25</f>
        <v>2210040.26815066</v>
      </c>
      <c r="N16" s="40" t="n">
        <f aca="false">N15*'Title Inputs'!$D$24*Scenarios!$D$25</f>
        <v>1927155.11382737</v>
      </c>
      <c r="O16" s="40" t="n">
        <f aca="false">O15*'Title Inputs'!$D$24*Scenarios!$D$25</f>
        <v>1680479.25925747</v>
      </c>
      <c r="P16" s="40" t="n">
        <f aca="false">P15*'Title Inputs'!$D$24*Scenarios!$D$25</f>
        <v>1465377.91407251</v>
      </c>
      <c r="Q16" s="40" t="n">
        <f aca="false">Q15*'Title Inputs'!$D$24*Scenarios!$D$25</f>
        <v>1277809.54107123</v>
      </c>
      <c r="R16" s="40" t="n">
        <f aca="false">R15*'Title Inputs'!$D$24*Scenarios!$D$25</f>
        <v>1114249.91981412</v>
      </c>
      <c r="S16" s="40" t="n">
        <f aca="false">S15*'Title Inputs'!$D$24*Scenarios!$D$25</f>
        <v>971625.930077908</v>
      </c>
      <c r="T16" s="40" t="n">
        <f aca="false">T15*'Title Inputs'!$D$24*Scenarios!$D$25</f>
        <v>847257.811027936</v>
      </c>
      <c r="U16" s="40" t="n">
        <f aca="false">U15*'Title Inputs'!$D$24*Scenarios!$D$25</f>
        <v>738808.81121636</v>
      </c>
      <c r="V16" s="40" t="n">
        <f aca="false">V15*'Title Inputs'!$D$24*Scenarios!$D$25</f>
        <v>644241.283380666</v>
      </c>
      <c r="W16" s="40" t="n">
        <f aca="false">W15*'Title Inputs'!$D$24*Scenarios!$D$25</f>
        <v>561778.399107941</v>
      </c>
      <c r="X16" s="40" t="n">
        <f aca="false">X15*'Title Inputs'!$D$24*Scenarios!$D$25</f>
        <v>489870.764022124</v>
      </c>
      <c r="Y16" s="40" t="n">
        <f aca="false">Y15*'Title Inputs'!$D$24*Scenarios!$D$25</f>
        <v>427167.306227292</v>
      </c>
      <c r="Z16" s="40" t="n">
        <f aca="false">Z15*'Title Inputs'!$D$24*Scenarios!$D$25</f>
        <v>372489.891030199</v>
      </c>
      <c r="AA16" s="40" t="n">
        <f aca="false">AA15*'Title Inputs'!$D$24*Scenarios!$D$25</f>
        <v>324811.184978334</v>
      </c>
      <c r="AB16" s="40" t="n">
        <f aca="false">AB15*'Title Inputs'!$D$24*Scenarios!$D$25</f>
        <v>283235.353301107</v>
      </c>
    </row>
    <row r="17" customFormat="false" ht="15" hidden="false" customHeight="false" outlineLevel="0" collapsed="false">
      <c r="A17" s="14"/>
      <c r="B17" s="9"/>
      <c r="C17" s="9" t="s">
        <v>199</v>
      </c>
      <c r="D17" s="34" t="n">
        <f aca="false">SUM(E17:AB17)</f>
        <v>1145526.53058842</v>
      </c>
      <c r="E17" s="41" t="n">
        <f aca="false">E16/1000*Scenarios!$D$26</f>
        <v>152317.843410248</v>
      </c>
      <c r="F17" s="41" t="n">
        <f aca="false">F16/1000*Scenarios!$D$26</f>
        <v>132821.159453736</v>
      </c>
      <c r="G17" s="41" t="n">
        <f aca="false">G16/1000*Scenarios!$D$26</f>
        <v>115820.051043658</v>
      </c>
      <c r="H17" s="41" t="n">
        <f aca="false">H16/1000*Scenarios!$D$26</f>
        <v>100995.08451007</v>
      </c>
      <c r="I17" s="41" t="n">
        <f aca="false">I16/1000*Scenarios!$D$26</f>
        <v>88067.7136927808</v>
      </c>
      <c r="J17" s="41" t="n">
        <f aca="false">J16/1000*Scenarios!$D$26</f>
        <v>76795.0463401049</v>
      </c>
      <c r="K17" s="41" t="n">
        <f aca="false">K16/1000*Scenarios!$D$26</f>
        <v>66965.2804085714</v>
      </c>
      <c r="L17" s="41" t="n">
        <f aca="false">L16/1000*Scenarios!$D$26</f>
        <v>58393.7245162743</v>
      </c>
      <c r="M17" s="41" t="n">
        <f aca="false">M16/1000*Scenarios!$D$26</f>
        <v>50919.3277781912</v>
      </c>
      <c r="N17" s="41" t="n">
        <f aca="false">N16/1000*Scenarios!$D$26</f>
        <v>44401.6538225827</v>
      </c>
      <c r="O17" s="41" t="n">
        <f aca="false">O16/1000*Scenarios!$D$26</f>
        <v>38718.2421332921</v>
      </c>
      <c r="P17" s="41" t="n">
        <f aca="false">P16/1000*Scenarios!$D$26</f>
        <v>33762.3071402307</v>
      </c>
      <c r="Q17" s="41" t="n">
        <f aca="false">Q16/1000*Scenarios!$D$26</f>
        <v>29440.7318262812</v>
      </c>
      <c r="R17" s="41" t="n">
        <f aca="false">R16/1000*Scenarios!$D$26</f>
        <v>25672.3181525172</v>
      </c>
      <c r="S17" s="41" t="n">
        <f aca="false">S16/1000*Scenarios!$D$26</f>
        <v>22386.261428995</v>
      </c>
      <c r="T17" s="41" t="n">
        <f aca="false">T16/1000*Scenarios!$D$26</f>
        <v>19520.8199660836</v>
      </c>
      <c r="U17" s="41" t="n">
        <f aca="false">U16/1000*Scenarios!$D$26</f>
        <v>17022.1550104249</v>
      </c>
      <c r="V17" s="41" t="n">
        <f aca="false">V16/1000*Scenarios!$D$26</f>
        <v>14843.3191690905</v>
      </c>
      <c r="W17" s="41" t="n">
        <f aca="false">W16/1000*Scenarios!$D$26</f>
        <v>12943.374315447</v>
      </c>
      <c r="X17" s="41" t="n">
        <f aca="false">X16/1000*Scenarios!$D$26</f>
        <v>11286.6224030697</v>
      </c>
      <c r="Y17" s="41" t="n">
        <f aca="false">Y16/1000*Scenarios!$D$26</f>
        <v>9841.93473547682</v>
      </c>
      <c r="Z17" s="41" t="n">
        <f aca="false">Z16/1000*Scenarios!$D$26</f>
        <v>8582.16708933579</v>
      </c>
      <c r="AA17" s="41" t="n">
        <f aca="false">AA16/1000*Scenarios!$D$26</f>
        <v>7483.6497019008</v>
      </c>
      <c r="AB17" s="41" t="n">
        <f aca="false">AB16/1000*Scenarios!$D$26</f>
        <v>6525.7425400575</v>
      </c>
    </row>
    <row r="19" customFormat="false" ht="15" hidden="false" customHeight="false" outlineLevel="0" collapsed="false">
      <c r="A19" s="14" t="s">
        <v>194</v>
      </c>
      <c r="B19" s="8" t="s">
        <v>124</v>
      </c>
      <c r="C19" s="9" t="s">
        <v>195</v>
      </c>
      <c r="D19" s="27" t="n">
        <f aca="false">SUM(E19:AB19)</f>
        <v>2323640.80706582</v>
      </c>
      <c r="E19" s="40" t="n">
        <f aca="false">Scenarios!$E$23*(1-Scenarios!$E$22)^(E$4-1)</f>
        <v>325770.470076688</v>
      </c>
      <c r="F19" s="40" t="n">
        <f aca="false">Scenarios!$E$23*(1-Scenarios!$E$22)^(F$4-1)</f>
        <v>281465.686146259</v>
      </c>
      <c r="G19" s="40" t="n">
        <f aca="false">Scenarios!$E$23*(1-Scenarios!$E$22)^(G$4-1)</f>
        <v>243186.352830367</v>
      </c>
      <c r="H19" s="40" t="n">
        <f aca="false">Scenarios!$E$23*(1-Scenarios!$E$22)^(H$4-1)</f>
        <v>210113.008845438</v>
      </c>
      <c r="I19" s="40" t="n">
        <f aca="false">Scenarios!$E$23*(1-Scenarios!$E$22)^(I$4-1)</f>
        <v>181537.639642458</v>
      </c>
      <c r="J19" s="40" t="n">
        <f aca="false">Scenarios!$E$23*(1-Scenarios!$E$22)^(J$4-1)</f>
        <v>156848.520651084</v>
      </c>
      <c r="K19" s="40" t="n">
        <f aca="false">Scenarios!$E$23*(1-Scenarios!$E$22)^(K$4-1)</f>
        <v>135517.121842536</v>
      </c>
      <c r="L19" s="40" t="n">
        <f aca="false">Scenarios!$E$23*(1-Scenarios!$E$22)^(L$4-1)</f>
        <v>117086.793271951</v>
      </c>
      <c r="M19" s="40" t="n">
        <f aca="false">Scenarios!$E$23*(1-Scenarios!$E$22)^(M$4-1)</f>
        <v>101162.989386966</v>
      </c>
      <c r="N19" s="40" t="n">
        <f aca="false">Scenarios!$E$23*(1-Scenarios!$E$22)^(N$4-1)</f>
        <v>87404.8228303386</v>
      </c>
      <c r="O19" s="40" t="n">
        <f aca="false">Scenarios!$E$23*(1-Scenarios!$E$22)^(O$4-1)</f>
        <v>75517.7669254126</v>
      </c>
      <c r="P19" s="40" t="n">
        <f aca="false">Scenarios!$E$23*(1-Scenarios!$E$22)^(P$4-1)</f>
        <v>65247.3506235565</v>
      </c>
      <c r="Q19" s="40" t="n">
        <f aca="false">Scenarios!$E$23*(1-Scenarios!$E$22)^(Q$4-1)</f>
        <v>56373.7109387528</v>
      </c>
      <c r="R19" s="40" t="n">
        <f aca="false">Scenarios!$E$23*(1-Scenarios!$E$22)^(R$4-1)</f>
        <v>48706.8862510824</v>
      </c>
      <c r="S19" s="40" t="n">
        <f aca="false">Scenarios!$E$23*(1-Scenarios!$E$22)^(S$4-1)</f>
        <v>42082.7497209352</v>
      </c>
      <c r="T19" s="40" t="n">
        <f aca="false">Scenarios!$E$23*(1-Scenarios!$E$22)^(T$4-1)</f>
        <v>36359.495758888</v>
      </c>
      <c r="U19" s="40" t="n">
        <f aca="false">Scenarios!$E$23*(1-Scenarios!$E$22)^(U$4-1)</f>
        <v>31414.6043356792</v>
      </c>
      <c r="V19" s="40" t="n">
        <f aca="false">Scenarios!$E$23*(1-Scenarios!$E$22)^(V$4-1)</f>
        <v>27142.2181460269</v>
      </c>
      <c r="W19" s="40" t="n">
        <f aca="false">Scenarios!$E$23*(1-Scenarios!$E$22)^(W$4-1)</f>
        <v>23450.8764781672</v>
      </c>
      <c r="X19" s="40" t="n">
        <f aca="false">Scenarios!$E$23*(1-Scenarios!$E$22)^(X$4-1)</f>
        <v>20261.5572771365</v>
      </c>
      <c r="Y19" s="40" t="n">
        <f aca="false">Scenarios!$E$23*(1-Scenarios!$E$22)^(Y$4-1)</f>
        <v>17505.9854874459</v>
      </c>
      <c r="Z19" s="40" t="n">
        <f aca="false">Scenarios!$E$23*(1-Scenarios!$E$22)^(Z$4-1)</f>
        <v>15125.1714611533</v>
      </c>
      <c r="AA19" s="40" t="n">
        <f aca="false">Scenarios!$E$23*(1-Scenarios!$E$22)^(AA$4-1)</f>
        <v>13068.1481424364</v>
      </c>
      <c r="AB19" s="40" t="n">
        <f aca="false">Scenarios!$E$23*(1-Scenarios!$E$22)^(AB$4-1)</f>
        <v>11290.8799950651</v>
      </c>
    </row>
    <row r="20" customFormat="false" ht="15" hidden="false" customHeight="false" outlineLevel="0" collapsed="false">
      <c r="A20" s="14"/>
      <c r="B20" s="9"/>
      <c r="C20" s="9" t="s">
        <v>196</v>
      </c>
      <c r="D20" s="36" t="n">
        <f aca="false">SUM(E20:AB20)</f>
        <v>1</v>
      </c>
      <c r="E20" s="21" t="n">
        <f aca="false">E19/$D$19</f>
        <v>0.140198291012136</v>
      </c>
      <c r="F20" s="21" t="n">
        <f aca="false">F19/$D$19</f>
        <v>0.121131323434485</v>
      </c>
      <c r="G20" s="21" t="n">
        <f aca="false">G19/$D$19</f>
        <v>0.104657463447395</v>
      </c>
      <c r="H20" s="21" t="n">
        <f aca="false">H19/$D$19</f>
        <v>0.0904240484185495</v>
      </c>
      <c r="I20" s="21" t="n">
        <f aca="false">I19/$D$19</f>
        <v>0.0781263778336268</v>
      </c>
      <c r="J20" s="21" t="n">
        <f aca="false">J19/$D$19</f>
        <v>0.0675011904482535</v>
      </c>
      <c r="K20" s="21" t="n">
        <f aca="false">K19/$D$19</f>
        <v>0.058321028547291</v>
      </c>
      <c r="L20" s="21" t="n">
        <f aca="false">L19/$D$19</f>
        <v>0.0503893686648595</v>
      </c>
      <c r="M20" s="21" t="n">
        <f aca="false">M19/$D$19</f>
        <v>0.0435364145264386</v>
      </c>
      <c r="N20" s="21" t="n">
        <f aca="false">N19/$D$19</f>
        <v>0.0376154621508429</v>
      </c>
      <c r="O20" s="21" t="n">
        <f aca="false">O19/$D$19</f>
        <v>0.0324997592983283</v>
      </c>
      <c r="P20" s="21" t="n">
        <f aca="false">P19/$D$19</f>
        <v>0.0280797920337556</v>
      </c>
      <c r="Q20" s="21" t="n">
        <f aca="false">Q19/$D$19</f>
        <v>0.0242609403171649</v>
      </c>
      <c r="R20" s="21" t="n">
        <f aca="false">R19/$D$19</f>
        <v>0.0209614524340305</v>
      </c>
      <c r="S20" s="21" t="n">
        <f aca="false">S19/$D$19</f>
        <v>0.0181106949030023</v>
      </c>
      <c r="T20" s="21" t="n">
        <f aca="false">T19/$D$19</f>
        <v>0.015647640396194</v>
      </c>
      <c r="U20" s="21" t="n">
        <f aca="false">U19/$D$19</f>
        <v>0.0135195613023116</v>
      </c>
      <c r="V20" s="21" t="n">
        <f aca="false">V19/$D$19</f>
        <v>0.0116809009651972</v>
      </c>
      <c r="W20" s="21" t="n">
        <f aca="false">W19/$D$19</f>
        <v>0.0100922984339304</v>
      </c>
      <c r="X20" s="21" t="n">
        <f aca="false">X19/$D$19</f>
        <v>0.00871974584691587</v>
      </c>
      <c r="Y20" s="21" t="n">
        <f aca="false">Y19/$D$19</f>
        <v>0.00753386041173531</v>
      </c>
      <c r="Z20" s="21" t="n">
        <f aca="false">Z19/$D$19</f>
        <v>0.00650925539573931</v>
      </c>
      <c r="AA20" s="21" t="n">
        <f aca="false">AA19/$D$19</f>
        <v>0.00562399666191877</v>
      </c>
      <c r="AB20" s="21" t="n">
        <f aca="false">AB19/$D$19</f>
        <v>0.00485913311589781</v>
      </c>
    </row>
    <row r="21" customFormat="false" ht="15" hidden="false" customHeight="false" outlineLevel="0" collapsed="false">
      <c r="A21" s="14"/>
      <c r="B21" s="9"/>
      <c r="C21" s="9" t="s">
        <v>197</v>
      </c>
      <c r="D21" s="27" t="n">
        <f aca="false">SUM(E21:AB21)</f>
        <v>2848281.72304837</v>
      </c>
      <c r="E21" s="40" t="n">
        <f aca="false">E19*'Title Inputs'!$E$16*'Title Inputs'!$E$11*Scenarios!$E$24/60</f>
        <v>399324.229892483</v>
      </c>
      <c r="F21" s="40" t="n">
        <f aca="false">F19*'Title Inputs'!$E$16*'Title Inputs'!$E$11*Scenarios!$E$24/60</f>
        <v>345016.134627106</v>
      </c>
      <c r="G21" s="40" t="n">
        <f aca="false">G19*'Title Inputs'!$E$16*'Title Inputs'!$E$11*Scenarios!$E$24/60</f>
        <v>298093.940317819</v>
      </c>
      <c r="H21" s="40" t="n">
        <f aca="false">H19*'Title Inputs'!$E$16*'Title Inputs'!$E$11*Scenarios!$E$24/60</f>
        <v>257553.164434596</v>
      </c>
      <c r="I21" s="40" t="n">
        <f aca="false">I19*'Title Inputs'!$E$16*'Title Inputs'!$E$11*Scenarios!$E$24/60</f>
        <v>222525.934071491</v>
      </c>
      <c r="J21" s="40" t="n">
        <f aca="false">J19*'Title Inputs'!$E$16*'Title Inputs'!$E$11*Scenarios!$E$24/60</f>
        <v>192262.407037768</v>
      </c>
      <c r="K21" s="40" t="n">
        <f aca="false">K19*'Title Inputs'!$E$16*'Title Inputs'!$E$11*Scenarios!$E$24/60</f>
        <v>166114.719680632</v>
      </c>
      <c r="L21" s="40" t="n">
        <f aca="false">L19*'Title Inputs'!$E$16*'Title Inputs'!$E$11*Scenarios!$E$24/60</f>
        <v>143523.117804066</v>
      </c>
      <c r="M21" s="40" t="n">
        <f aca="false">M19*'Title Inputs'!$E$16*'Title Inputs'!$E$11*Scenarios!$E$24/60</f>
        <v>124003.973782713</v>
      </c>
      <c r="N21" s="40" t="n">
        <f aca="false">N19*'Title Inputs'!$E$16*'Title Inputs'!$E$11*Scenarios!$E$24/60</f>
        <v>107139.433348264</v>
      </c>
      <c r="O21" s="40" t="n">
        <f aca="false">O19*'Title Inputs'!$E$16*'Title Inputs'!$E$11*Scenarios!$E$24/60</f>
        <v>92568.4704128999</v>
      </c>
      <c r="P21" s="40" t="n">
        <f aca="false">P19*'Title Inputs'!$E$16*'Title Inputs'!$E$11*Scenarios!$E$24/60</f>
        <v>79979.1584367455</v>
      </c>
      <c r="Q21" s="40" t="n">
        <f aca="false">Q19*'Title Inputs'!$E$16*'Title Inputs'!$E$11*Scenarios!$E$24/60</f>
        <v>69101.9928893481</v>
      </c>
      <c r="R21" s="40" t="n">
        <f aca="false">R19*'Title Inputs'!$E$16*'Title Inputs'!$E$11*Scenarios!$E$24/60</f>
        <v>59704.1218563968</v>
      </c>
      <c r="S21" s="40" t="n">
        <f aca="false">S19*'Title Inputs'!$E$16*'Title Inputs'!$E$11*Scenarios!$E$24/60</f>
        <v>51584.3612839268</v>
      </c>
      <c r="T21" s="40" t="n">
        <f aca="false">T19*'Title Inputs'!$E$16*'Title Inputs'!$E$11*Scenarios!$E$24/60</f>
        <v>44568.8881493128</v>
      </c>
      <c r="U21" s="40" t="n">
        <f aca="false">U19*'Title Inputs'!$E$16*'Title Inputs'!$E$11*Scenarios!$E$24/60</f>
        <v>38507.5193610062</v>
      </c>
      <c r="V21" s="40" t="n">
        <f aca="false">V19*'Title Inputs'!$E$16*'Title Inputs'!$E$11*Scenarios!$E$24/60</f>
        <v>33270.4967279094</v>
      </c>
      <c r="W21" s="40" t="n">
        <f aca="false">W19*'Title Inputs'!$E$16*'Title Inputs'!$E$11*Scenarios!$E$24/60</f>
        <v>28745.7091729137</v>
      </c>
      <c r="X21" s="40" t="n">
        <f aca="false">X19*'Title Inputs'!$E$16*'Title Inputs'!$E$11*Scenarios!$E$24/60</f>
        <v>24836.2927253974</v>
      </c>
      <c r="Y21" s="40" t="n">
        <f aca="false">Y19*'Title Inputs'!$E$16*'Title Inputs'!$E$11*Scenarios!$E$24/60</f>
        <v>21458.5569147434</v>
      </c>
      <c r="Z21" s="40" t="n">
        <f aca="false">Z19*'Title Inputs'!$E$16*'Title Inputs'!$E$11*Scenarios!$E$24/60</f>
        <v>18540.1931743383</v>
      </c>
      <c r="AA21" s="40" t="n">
        <f aca="false">AA19*'Title Inputs'!$E$16*'Title Inputs'!$E$11*Scenarios!$E$24/60</f>
        <v>16018.7269026283</v>
      </c>
      <c r="AB21" s="40" t="n">
        <f aca="false">AB19*'Title Inputs'!$E$16*'Title Inputs'!$E$11*Scenarios!$E$24/60</f>
        <v>13840.1800438708</v>
      </c>
    </row>
    <row r="22" customFormat="false" ht="15" hidden="false" customHeight="false" outlineLevel="0" collapsed="false">
      <c r="A22" s="14"/>
      <c r="B22" s="9"/>
      <c r="C22" s="9" t="s">
        <v>198</v>
      </c>
      <c r="D22" s="27" t="n">
        <f aca="false">SUM(E22:AB22)</f>
        <v>34612319.4984838</v>
      </c>
      <c r="E22" s="40" t="n">
        <f aca="false">E21*'Title Inputs'!$E$24*Scenarios!$E$25</f>
        <v>4852588.04165346</v>
      </c>
      <c r="F22" s="40" t="n">
        <f aca="false">F21*'Title Inputs'!$E$24*Scenarios!$E$25</f>
        <v>4192636.06798859</v>
      </c>
      <c r="G22" s="40" t="n">
        <f aca="false">G21*'Title Inputs'!$E$24*Scenarios!$E$25</f>
        <v>3622437.56274214</v>
      </c>
      <c r="H22" s="40" t="n">
        <f aca="false">H21*'Title Inputs'!$E$24*Scenarios!$E$25</f>
        <v>3129786.05420921</v>
      </c>
      <c r="I22" s="40" t="n">
        <f aca="false">I21*'Title Inputs'!$E$24*Scenarios!$E$25</f>
        <v>2704135.15083676</v>
      </c>
      <c r="J22" s="40" t="n">
        <f aca="false">J21*'Title Inputs'!$E$24*Scenarios!$E$25</f>
        <v>2336372.77032296</v>
      </c>
      <c r="K22" s="40" t="n">
        <f aca="false">K21*'Title Inputs'!$E$24*Scenarios!$E$25</f>
        <v>2018626.07355903</v>
      </c>
      <c r="L22" s="40" t="n">
        <f aca="false">L21*'Title Inputs'!$E$24*Scenarios!$E$25</f>
        <v>1744092.92755501</v>
      </c>
      <c r="M22" s="40" t="n">
        <f aca="false">M21*'Title Inputs'!$E$24*Scenarios!$E$25</f>
        <v>1506896.28940753</v>
      </c>
      <c r="N22" s="40" t="n">
        <f aca="false">N21*'Title Inputs'!$E$24*Scenarios!$E$25</f>
        <v>1301958.3940481</v>
      </c>
      <c r="O22" s="40" t="n">
        <f aca="false">O21*'Title Inputs'!$E$24*Scenarios!$E$25</f>
        <v>1124892.05245756</v>
      </c>
      <c r="P22" s="40" t="n">
        <f aca="false">P21*'Title Inputs'!$E$24*Scenarios!$E$25</f>
        <v>971906.733323332</v>
      </c>
      <c r="Q22" s="40" t="n">
        <f aca="false">Q21*'Title Inputs'!$E$24*Scenarios!$E$25</f>
        <v>839727.417591359</v>
      </c>
      <c r="R22" s="40" t="n">
        <f aca="false">R21*'Title Inputs'!$E$24*Scenarios!$E$25</f>
        <v>725524.488798934</v>
      </c>
      <c r="S22" s="40" t="n">
        <f aca="false">S21*'Title Inputs'!$E$24*Scenarios!$E$25</f>
        <v>626853.158322279</v>
      </c>
      <c r="T22" s="40" t="n">
        <f aca="false">T21*'Title Inputs'!$E$24*Scenarios!$E$25</f>
        <v>541601.128790449</v>
      </c>
      <c r="U22" s="40" t="n">
        <f aca="false">U21*'Title Inputs'!$E$24*Scenarios!$E$25</f>
        <v>467943.375274948</v>
      </c>
      <c r="V22" s="40" t="n">
        <f aca="false">V21*'Title Inputs'!$E$24*Scenarios!$E$25</f>
        <v>404303.076237555</v>
      </c>
      <c r="W22" s="40" t="n">
        <f aca="false">W21*'Title Inputs'!$E$24*Scenarios!$E$25</f>
        <v>349317.857869247</v>
      </c>
      <c r="X22" s="40" t="n">
        <f aca="false">X21*'Title Inputs'!$E$24*Scenarios!$E$25</f>
        <v>301810.62919903</v>
      </c>
      <c r="Y22" s="40" t="n">
        <f aca="false">Y21*'Title Inputs'!$E$24*Scenarios!$E$25</f>
        <v>260764.383627962</v>
      </c>
      <c r="Z22" s="40" t="n">
        <f aca="false">Z21*'Title Inputs'!$E$24*Scenarios!$E$25</f>
        <v>225300.427454559</v>
      </c>
      <c r="AA22" s="40" t="n">
        <f aca="false">AA21*'Title Inputs'!$E$24*Scenarios!$E$25</f>
        <v>194659.569320739</v>
      </c>
      <c r="AB22" s="40" t="n">
        <f aca="false">AB21*'Title Inputs'!$E$24*Scenarios!$E$25</f>
        <v>168185.867893118</v>
      </c>
    </row>
    <row r="23" customFormat="false" ht="15" hidden="false" customHeight="false" outlineLevel="0" collapsed="false">
      <c r="A23" s="14"/>
      <c r="B23" s="9"/>
      <c r="C23" s="9" t="s">
        <v>199</v>
      </c>
      <c r="D23" s="34" t="n">
        <f aca="false">SUM(E23:AB23)</f>
        <v>764240.014526523</v>
      </c>
      <c r="E23" s="41" t="n">
        <f aca="false">E22/1000*Scenarios!$E$26</f>
        <v>107145.143959708</v>
      </c>
      <c r="F23" s="41" t="n">
        <f aca="false">F22/1000*Scenarios!$E$26</f>
        <v>92573.404381188</v>
      </c>
      <c r="G23" s="41" t="n">
        <f aca="false">G22/1000*Scenarios!$E$26</f>
        <v>79983.4213853464</v>
      </c>
      <c r="H23" s="41" t="n">
        <f aca="false">H22/1000*Scenarios!$E$26</f>
        <v>69105.6760769393</v>
      </c>
      <c r="I23" s="41" t="n">
        <f aca="false">I22/1000*Scenarios!$E$26</f>
        <v>59707.3041304756</v>
      </c>
      <c r="J23" s="41" t="n">
        <f aca="false">J22/1000*Scenarios!$E$26</f>
        <v>51587.1107687309</v>
      </c>
      <c r="K23" s="41" t="n">
        <f aca="false">K22/1000*Scenarios!$E$26</f>
        <v>44571.2637041835</v>
      </c>
      <c r="L23" s="41" t="n">
        <f aca="false">L22/1000*Scenarios!$E$26</f>
        <v>38509.5718404145</v>
      </c>
      <c r="M23" s="41" t="n">
        <f aca="false">M22/1000*Scenarios!$E$26</f>
        <v>33272.2700701182</v>
      </c>
      <c r="N23" s="41" t="n">
        <f aca="false">N22/1000*Scenarios!$E$26</f>
        <v>28747.2413405821</v>
      </c>
      <c r="O23" s="41" t="n">
        <f aca="false">O22/1000*Scenarios!$E$26</f>
        <v>24837.6165182629</v>
      </c>
      <c r="P23" s="41" t="n">
        <f aca="false">P22/1000*Scenarios!$E$26</f>
        <v>21459.7006717792</v>
      </c>
      <c r="Q23" s="41" t="n">
        <f aca="false">Q22/1000*Scenarios!$E$26</f>
        <v>18541.1813804172</v>
      </c>
      <c r="R23" s="41" t="n">
        <f aca="false">R22/1000*Scenarios!$E$26</f>
        <v>16019.5807126805</v>
      </c>
      <c r="S23" s="41" t="n">
        <f aca="false">S22/1000*Scenarios!$E$26</f>
        <v>13840.9177357559</v>
      </c>
      <c r="T23" s="41" t="n">
        <f aca="false">T22/1000*Scenarios!$E$26</f>
        <v>11958.5529236931</v>
      </c>
      <c r="U23" s="41" t="n">
        <f aca="false">U22/1000*Scenarios!$E$26</f>
        <v>10332.1897260708</v>
      </c>
      <c r="V23" s="41" t="n">
        <f aca="false">V22/1000*Scenarios!$E$26</f>
        <v>8927.01192332521</v>
      </c>
      <c r="W23" s="41" t="n">
        <f aca="false">W22/1000*Scenarios!$E$26</f>
        <v>7712.93830175298</v>
      </c>
      <c r="X23" s="41" t="n">
        <f aca="false">X22/1000*Scenarios!$E$26</f>
        <v>6663.97869271458</v>
      </c>
      <c r="Y23" s="41" t="n">
        <f aca="false">Y22/1000*Scenarios!$E$26</f>
        <v>5757.67759050539</v>
      </c>
      <c r="Z23" s="41" t="n">
        <f aca="false">Z22/1000*Scenarios!$E$26</f>
        <v>4974.63343819666</v>
      </c>
      <c r="AA23" s="41" t="n">
        <f aca="false">AA22/1000*Scenarios!$E$26</f>
        <v>4298.08329060192</v>
      </c>
      <c r="AB23" s="41" t="n">
        <f aca="false">AB22/1000*Scenarios!$E$26</f>
        <v>3713.54396308005</v>
      </c>
    </row>
    <row r="25" customFormat="false" ht="15" hidden="false" customHeight="false" outlineLevel="0" collapsed="false">
      <c r="A25" s="14" t="s">
        <v>194</v>
      </c>
      <c r="B25" s="8" t="s">
        <v>125</v>
      </c>
      <c r="C25" s="9" t="s">
        <v>195</v>
      </c>
      <c r="D25" s="27" t="n">
        <f aca="false">SUM(E25:AB25)</f>
        <v>1538054.52334755</v>
      </c>
      <c r="E25" s="40" t="n">
        <f aca="false">Scenarios!$F$23*(1-Scenarios!$F$22)^(E$4-1)</f>
        <v>232611.52082301</v>
      </c>
      <c r="F25" s="40" t="n">
        <f aca="false">Scenarios!$F$23*(1-Scenarios!$F$22)^(F$4-1)</f>
        <v>198185.015741205</v>
      </c>
      <c r="G25" s="40" t="n">
        <f aca="false">Scenarios!$F$23*(1-Scenarios!$F$22)^(G$4-1)</f>
        <v>168853.633411506</v>
      </c>
      <c r="H25" s="40" t="n">
        <f aca="false">Scenarios!$F$23*(1-Scenarios!$F$22)^(H$4-1)</f>
        <v>143863.295666603</v>
      </c>
      <c r="I25" s="40" t="n">
        <f aca="false">Scenarios!$F$23*(1-Scenarios!$F$22)^(I$4-1)</f>
        <v>122571.527907946</v>
      </c>
      <c r="J25" s="40" t="n">
        <f aca="false">Scenarios!$F$23*(1-Scenarios!$F$22)^(J$4-1)</f>
        <v>104430.94177757</v>
      </c>
      <c r="K25" s="40" t="n">
        <f aca="false">Scenarios!$F$23*(1-Scenarios!$F$22)^(K$4-1)</f>
        <v>88975.1623944897</v>
      </c>
      <c r="L25" s="40" t="n">
        <f aca="false">Scenarios!$F$23*(1-Scenarios!$F$22)^(L$4-1)</f>
        <v>75806.8383601052</v>
      </c>
      <c r="M25" s="40" t="n">
        <f aca="false">Scenarios!$F$23*(1-Scenarios!$F$22)^(M$4-1)</f>
        <v>64587.4262828097</v>
      </c>
      <c r="N25" s="40" t="n">
        <f aca="false">Scenarios!$F$23*(1-Scenarios!$F$22)^(N$4-1)</f>
        <v>55028.4871929538</v>
      </c>
      <c r="O25" s="40" t="n">
        <f aca="false">Scenarios!$F$23*(1-Scenarios!$F$22)^(O$4-1)</f>
        <v>46884.2710883967</v>
      </c>
      <c r="P25" s="40" t="n">
        <f aca="false">Scenarios!$F$23*(1-Scenarios!$F$22)^(P$4-1)</f>
        <v>39945.398967314</v>
      </c>
      <c r="Q25" s="40" t="n">
        <f aca="false">Scenarios!$F$23*(1-Scenarios!$F$22)^(Q$4-1)</f>
        <v>34033.4799201515</v>
      </c>
      <c r="R25" s="40" t="n">
        <f aca="false">Scenarios!$F$23*(1-Scenarios!$F$22)^(R$4-1)</f>
        <v>28996.5248919691</v>
      </c>
      <c r="S25" s="40" t="n">
        <f aca="false">Scenarios!$F$23*(1-Scenarios!$F$22)^(S$4-1)</f>
        <v>24705.0392079576</v>
      </c>
      <c r="T25" s="40" t="n">
        <f aca="false">Scenarios!$F$23*(1-Scenarios!$F$22)^(T$4-1)</f>
        <v>21048.6934051799</v>
      </c>
      <c r="U25" s="40" t="n">
        <f aca="false">Scenarios!$F$23*(1-Scenarios!$F$22)^(U$4-1)</f>
        <v>17933.4867812133</v>
      </c>
      <c r="V25" s="40" t="n">
        <f aca="false">Scenarios!$F$23*(1-Scenarios!$F$22)^(V$4-1)</f>
        <v>15279.3307375937</v>
      </c>
      <c r="W25" s="40" t="n">
        <f aca="false">Scenarios!$F$23*(1-Scenarios!$F$22)^(W$4-1)</f>
        <v>13017.9897884298</v>
      </c>
      <c r="X25" s="40" t="n">
        <f aca="false">Scenarios!$F$23*(1-Scenarios!$F$22)^(X$4-1)</f>
        <v>11091.3272997422</v>
      </c>
      <c r="Y25" s="40" t="n">
        <f aca="false">Scenarios!$F$23*(1-Scenarios!$F$22)^(Y$4-1)</f>
        <v>9449.81085938038</v>
      </c>
      <c r="Z25" s="40" t="n">
        <f aca="false">Scenarios!$F$23*(1-Scenarios!$F$22)^(Z$4-1)</f>
        <v>8051.23885219208</v>
      </c>
      <c r="AA25" s="40" t="n">
        <f aca="false">Scenarios!$F$23*(1-Scenarios!$F$22)^(AA$4-1)</f>
        <v>6859.65550206765</v>
      </c>
      <c r="AB25" s="40" t="n">
        <f aca="false">Scenarios!$F$23*(1-Scenarios!$F$22)^(AB$4-1)</f>
        <v>5844.42648776164</v>
      </c>
    </row>
    <row r="26" customFormat="false" ht="15" hidden="false" customHeight="false" outlineLevel="0" collapsed="false">
      <c r="A26" s="14"/>
      <c r="B26" s="9"/>
      <c r="C26" s="9" t="s">
        <v>196</v>
      </c>
      <c r="D26" s="36" t="n">
        <f aca="false">SUM(E26:AB26)</f>
        <v>1</v>
      </c>
      <c r="E26" s="21" t="n">
        <f aca="false">E25/$D$25</f>
        <v>0.151237499901327</v>
      </c>
      <c r="F26" s="21" t="n">
        <f aca="false">F25/$D$25</f>
        <v>0.12885434991593</v>
      </c>
      <c r="G26" s="21" t="n">
        <f aca="false">G25/$D$25</f>
        <v>0.109783906128373</v>
      </c>
      <c r="H26" s="21" t="n">
        <f aca="false">H25/$D$25</f>
        <v>0.0935358880213736</v>
      </c>
      <c r="I26" s="21" t="n">
        <f aca="false">I25/$D$25</f>
        <v>0.0796925765942103</v>
      </c>
      <c r="J26" s="21" t="n">
        <f aca="false">J25/$D$25</f>
        <v>0.0678980752582672</v>
      </c>
      <c r="K26" s="21" t="n">
        <f aca="false">K25/$D$25</f>
        <v>0.0578491601200436</v>
      </c>
      <c r="L26" s="21" t="n">
        <f aca="false">L25/$D$25</f>
        <v>0.0492874844222772</v>
      </c>
      <c r="M26" s="21" t="n">
        <f aca="false">M25/$D$25</f>
        <v>0.0419929367277801</v>
      </c>
      <c r="N26" s="21" t="n">
        <f aca="false">N25/$D$25</f>
        <v>0.0357779820920687</v>
      </c>
      <c r="O26" s="21" t="n">
        <f aca="false">O25/$D$25</f>
        <v>0.0304828407424425</v>
      </c>
      <c r="P26" s="21" t="n">
        <f aca="false">P25/$D$25</f>
        <v>0.025971380312561</v>
      </c>
      <c r="Q26" s="21" t="n">
        <f aca="false">Q25/$D$25</f>
        <v>0.022127616026302</v>
      </c>
      <c r="R26" s="21" t="n">
        <f aca="false">R25/$D$25</f>
        <v>0.0188527288544093</v>
      </c>
      <c r="S26" s="21" t="n">
        <f aca="false">S25/$D$25</f>
        <v>0.0160625249839567</v>
      </c>
      <c r="T26" s="21" t="n">
        <f aca="false">T25/$D$25</f>
        <v>0.0136852712863311</v>
      </c>
      <c r="U26" s="21" t="n">
        <f aca="false">U25/$D$25</f>
        <v>0.0116598511359541</v>
      </c>
      <c r="V26" s="21" t="n">
        <f aca="false">V25/$D$25</f>
        <v>0.00993419316783291</v>
      </c>
      <c r="W26" s="21" t="n">
        <f aca="false">W25/$D$25</f>
        <v>0.00846393257899364</v>
      </c>
      <c r="X26" s="21" t="n">
        <f aca="false">X25/$D$25</f>
        <v>0.00721127055730258</v>
      </c>
      <c r="Y26" s="21" t="n">
        <f aca="false">Y25/$D$25</f>
        <v>0.0061440025148218</v>
      </c>
      <c r="Z26" s="21" t="n">
        <f aca="false">Z25/$D$25</f>
        <v>0.00523469014262817</v>
      </c>
      <c r="AA26" s="21" t="n">
        <f aca="false">AA25/$D$25</f>
        <v>0.0044599560015192</v>
      </c>
      <c r="AB26" s="21" t="n">
        <f aca="false">AB25/$D$25</f>
        <v>0.00379988251329436</v>
      </c>
    </row>
    <row r="27" customFormat="false" ht="15" hidden="false" customHeight="false" outlineLevel="0" collapsed="false">
      <c r="A27" s="14"/>
      <c r="B27" s="9"/>
      <c r="C27" s="9" t="s">
        <v>197</v>
      </c>
      <c r="D27" s="27" t="n">
        <f aca="false">SUM(E27:AB27)</f>
        <v>1795216.62442945</v>
      </c>
      <c r="E27" s="40" t="n">
        <f aca="false">E25*'Title Inputs'!$F$16*'Title Inputs'!$F$11*Scenarios!$F$24/60</f>
        <v>271504.074060009</v>
      </c>
      <c r="F27" s="40" t="n">
        <f aca="false">F25*'Title Inputs'!$F$16*'Title Inputs'!$F$11*Scenarios!$F$24/60</f>
        <v>231321.471099128</v>
      </c>
      <c r="G27" s="40" t="n">
        <f aca="false">G25*'Title Inputs'!$F$16*'Title Inputs'!$F$11*Scenarios!$F$24/60</f>
        <v>197085.893376457</v>
      </c>
      <c r="H27" s="40" t="n">
        <f aca="false">H25*'Title Inputs'!$F$16*'Title Inputs'!$F$11*Scenarios!$F$24/60</f>
        <v>167917.181156741</v>
      </c>
      <c r="I27" s="40" t="n">
        <f aca="false">I25*'Title Inputs'!$F$16*'Title Inputs'!$F$11*Scenarios!$F$24/60</f>
        <v>143065.438345544</v>
      </c>
      <c r="J27" s="40" t="n">
        <f aca="false">J25*'Title Inputs'!$F$16*'Title Inputs'!$F$11*Scenarios!$F$24/60</f>
        <v>121891.753470403</v>
      </c>
      <c r="K27" s="40" t="n">
        <f aca="false">K25*'Title Inputs'!$F$16*'Title Inputs'!$F$11*Scenarios!$F$24/60</f>
        <v>103851.773956783</v>
      </c>
      <c r="L27" s="40" t="n">
        <f aca="false">L25*'Title Inputs'!$F$16*'Title Inputs'!$F$11*Scenarios!$F$24/60</f>
        <v>88481.7114111795</v>
      </c>
      <c r="M27" s="40" t="n">
        <f aca="false">M25*'Title Inputs'!$F$16*'Title Inputs'!$F$11*Scenarios!$F$24/60</f>
        <v>75386.4181223249</v>
      </c>
      <c r="N27" s="40" t="n">
        <f aca="false">N25*'Title Inputs'!$F$16*'Title Inputs'!$F$11*Scenarios!$F$24/60</f>
        <v>64229.2282402208</v>
      </c>
      <c r="O27" s="40" t="n">
        <f aca="false">O25*'Title Inputs'!$F$16*'Title Inputs'!$F$11*Scenarios!$F$24/60</f>
        <v>54723.3024606681</v>
      </c>
      <c r="P27" s="40" t="n">
        <f aca="false">P25*'Title Inputs'!$F$16*'Title Inputs'!$F$11*Scenarios!$F$24/60</f>
        <v>46624.2536964893</v>
      </c>
      <c r="Q27" s="40" t="n">
        <f aca="false">Q25*'Title Inputs'!$F$16*'Title Inputs'!$F$11*Scenarios!$F$24/60</f>
        <v>39723.8641494088</v>
      </c>
      <c r="R27" s="40" t="n">
        <f aca="false">R25*'Title Inputs'!$F$16*'Title Inputs'!$F$11*Scenarios!$F$24/60</f>
        <v>33844.7322552963</v>
      </c>
      <c r="S27" s="40" t="n">
        <f aca="false">S25*'Title Inputs'!$F$16*'Title Inputs'!$F$11*Scenarios!$F$24/60</f>
        <v>28835.7118815125</v>
      </c>
      <c r="T27" s="40" t="n">
        <f aca="false">T25*'Title Inputs'!$F$16*'Title Inputs'!$F$11*Scenarios!$F$24/60</f>
        <v>24568.0265230486</v>
      </c>
      <c r="U27" s="40" t="n">
        <f aca="false">U25*'Title Inputs'!$F$16*'Title Inputs'!$F$11*Scenarios!$F$24/60</f>
        <v>20931.9585976374</v>
      </c>
      <c r="V27" s="40" t="n">
        <f aca="false">V25*'Title Inputs'!$F$16*'Title Inputs'!$F$11*Scenarios!$F$24/60</f>
        <v>17834.0287251871</v>
      </c>
      <c r="W27" s="40" t="n">
        <f aca="false">W25*'Title Inputs'!$F$16*'Title Inputs'!$F$11*Scenarios!$F$24/60</f>
        <v>15194.5924738594</v>
      </c>
      <c r="X27" s="40" t="n">
        <f aca="false">X25*'Title Inputs'!$F$16*'Title Inputs'!$F$11*Scenarios!$F$24/60</f>
        <v>12945.7927877282</v>
      </c>
      <c r="Y27" s="40" t="n">
        <f aca="false">Y25*'Title Inputs'!$F$16*'Title Inputs'!$F$11*Scenarios!$F$24/60</f>
        <v>11029.8154551444</v>
      </c>
      <c r="Z27" s="40" t="n">
        <f aca="false">Z25*'Title Inputs'!$F$16*'Title Inputs'!$F$11*Scenarios!$F$24/60</f>
        <v>9397.40276778306</v>
      </c>
      <c r="AA27" s="40" t="n">
        <f aca="false">AA25*'Title Inputs'!$F$16*'Title Inputs'!$F$11*Scenarios!$F$24/60</f>
        <v>8006.58715815116</v>
      </c>
      <c r="AB27" s="40" t="n">
        <f aca="false">AB25*'Title Inputs'!$F$16*'Title Inputs'!$F$11*Scenarios!$F$24/60</f>
        <v>6821.61225874479</v>
      </c>
    </row>
    <row r="28" customFormat="false" ht="15" hidden="false" customHeight="false" outlineLevel="0" collapsed="false">
      <c r="A28" s="14"/>
      <c r="B28" s="9"/>
      <c r="C28" s="9" t="s">
        <v>198</v>
      </c>
      <c r="D28" s="27" t="n">
        <f aca="false">SUM(E28:AB28)</f>
        <v>20320056.9719169</v>
      </c>
      <c r="E28" s="40" t="n">
        <f aca="false">E27*'Title Inputs'!$F$24*Scenarios!$F$25</f>
        <v>3073154.61428524</v>
      </c>
      <c r="F28" s="40" t="n">
        <f aca="false">F27*'Title Inputs'!$F$24*Scenarios!$F$25</f>
        <v>2618327.73137103</v>
      </c>
      <c r="G28" s="40" t="n">
        <f aca="false">G27*'Title Inputs'!$F$24*Scenarios!$F$25</f>
        <v>2230815.22712812</v>
      </c>
      <c r="H28" s="40" t="n">
        <f aca="false">H27*'Title Inputs'!$F$24*Scenarios!$F$25</f>
        <v>1900654.57351315</v>
      </c>
      <c r="I28" s="40" t="n">
        <f aca="false">I27*'Title Inputs'!$F$24*Scenarios!$F$25</f>
        <v>1619357.69663321</v>
      </c>
      <c r="J28" s="40" t="n">
        <f aca="false">J27*'Title Inputs'!$F$24*Scenarios!$F$25</f>
        <v>1379692.75753149</v>
      </c>
      <c r="K28" s="40" t="n">
        <f aca="false">K27*'Title Inputs'!$F$24*Scenarios!$F$25</f>
        <v>1175498.22941683</v>
      </c>
      <c r="L28" s="40" t="n">
        <f aca="false">L27*'Title Inputs'!$F$24*Scenarios!$F$25</f>
        <v>1001524.49146314</v>
      </c>
      <c r="M28" s="40" t="n">
        <f aca="false">M27*'Title Inputs'!$F$24*Scenarios!$F$25</f>
        <v>853298.866726596</v>
      </c>
      <c r="N28" s="40" t="n">
        <f aca="false">N27*'Title Inputs'!$F$24*Scenarios!$F$25</f>
        <v>727010.63445106</v>
      </c>
      <c r="O28" s="40" t="n">
        <f aca="false">O27*'Title Inputs'!$F$24*Scenarios!$F$25</f>
        <v>619413.060552303</v>
      </c>
      <c r="P28" s="40" t="n">
        <f aca="false">P27*'Title Inputs'!$F$24*Scenarios!$F$25</f>
        <v>527739.927590562</v>
      </c>
      <c r="Q28" s="40" t="n">
        <f aca="false">Q27*'Title Inputs'!$F$24*Scenarios!$F$25</f>
        <v>449634.418307159</v>
      </c>
      <c r="R28" s="40" t="n">
        <f aca="false">R27*'Title Inputs'!$F$24*Scenarios!$F$25</f>
        <v>383088.524397699</v>
      </c>
      <c r="S28" s="40" t="n">
        <f aca="false">S27*'Title Inputs'!$F$24*Scenarios!$F$25</f>
        <v>326391.42278684</v>
      </c>
      <c r="T28" s="40" t="n">
        <f aca="false">T27*'Title Inputs'!$F$24*Scenarios!$F$25</f>
        <v>278085.492214387</v>
      </c>
      <c r="U28" s="40" t="n">
        <f aca="false">U27*'Title Inputs'!$F$24*Scenarios!$F$25</f>
        <v>236928.839366658</v>
      </c>
      <c r="V28" s="40" t="n">
        <f aca="false">V27*'Title Inputs'!$F$24*Scenarios!$F$25</f>
        <v>201863.371140393</v>
      </c>
      <c r="W28" s="40" t="n">
        <f aca="false">W27*'Title Inputs'!$F$24*Scenarios!$F$25</f>
        <v>171987.592211615</v>
      </c>
      <c r="X28" s="40" t="n">
        <f aca="false">X27*'Title Inputs'!$F$24*Scenarios!$F$25</f>
        <v>146533.428564296</v>
      </c>
      <c r="Y28" s="40" t="n">
        <f aca="false">Y27*'Title Inputs'!$F$24*Scenarios!$F$25</f>
        <v>124846.48113678</v>
      </c>
      <c r="Z28" s="40" t="n">
        <f aca="false">Z27*'Title Inputs'!$F$24*Scenarios!$F$25</f>
        <v>106369.201928536</v>
      </c>
      <c r="AA28" s="40" t="n">
        <f aca="false">AA27*'Title Inputs'!$F$24*Scenarios!$F$25</f>
        <v>90626.560043113</v>
      </c>
      <c r="AB28" s="40" t="n">
        <f aca="false">AB27*'Title Inputs'!$F$24*Scenarios!$F$25</f>
        <v>77213.8291567323</v>
      </c>
    </row>
    <row r="29" customFormat="false" ht="15" hidden="false" customHeight="false" outlineLevel="0" collapsed="false">
      <c r="A29" s="14"/>
      <c r="B29" s="9"/>
      <c r="C29" s="9" t="s">
        <v>199</v>
      </c>
      <c r="D29" s="34" t="n">
        <f aca="false">SUM(E29:AB29)</f>
        <v>409652.348553846</v>
      </c>
      <c r="E29" s="41" t="n">
        <f aca="false">E28/1000*Scenarios!$F$26</f>
        <v>61954.7970239905</v>
      </c>
      <c r="F29" s="41" t="n">
        <f aca="false">F28/1000*Scenarios!$F$26</f>
        <v>52785.4870644399</v>
      </c>
      <c r="G29" s="41" t="n">
        <f aca="false">G28/1000*Scenarios!$F$26</f>
        <v>44973.2349789028</v>
      </c>
      <c r="H29" s="41" t="n">
        <f aca="false">H28/1000*Scenarios!$F$26</f>
        <v>38317.1962020252</v>
      </c>
      <c r="I29" s="41" t="n">
        <f aca="false">I28/1000*Scenarios!$F$26</f>
        <v>32646.2511641255</v>
      </c>
      <c r="J29" s="41" t="n">
        <f aca="false">J28/1000*Scenarios!$F$26</f>
        <v>27814.6059918349</v>
      </c>
      <c r="K29" s="41" t="n">
        <f aca="false">K28/1000*Scenarios!$F$26</f>
        <v>23698.0443050433</v>
      </c>
      <c r="L29" s="41" t="n">
        <f aca="false">L28/1000*Scenarios!$F$26</f>
        <v>20190.7337478969</v>
      </c>
      <c r="M29" s="41" t="n">
        <f aca="false">M28/1000*Scenarios!$F$26</f>
        <v>17202.5051532082</v>
      </c>
      <c r="N29" s="41" t="n">
        <f aca="false">N28/1000*Scenarios!$F$26</f>
        <v>14656.5343905334</v>
      </c>
      <c r="O29" s="41" t="n">
        <f aca="false">O28/1000*Scenarios!$F$26</f>
        <v>12487.3673007344</v>
      </c>
      <c r="P29" s="41" t="n">
        <f aca="false">P28/1000*Scenarios!$F$26</f>
        <v>10639.2369402257</v>
      </c>
      <c r="Q29" s="41" t="n">
        <f aca="false">Q28/1000*Scenarios!$F$26</f>
        <v>9064.62987307232</v>
      </c>
      <c r="R29" s="41" t="n">
        <f aca="false">R28/1000*Scenarios!$F$26</f>
        <v>7723.06465185762</v>
      </c>
      <c r="S29" s="41" t="n">
        <f aca="false">S28/1000*Scenarios!$F$26</f>
        <v>6580.05108338269</v>
      </c>
      <c r="T29" s="41" t="n">
        <f aca="false">T28/1000*Scenarios!$F$26</f>
        <v>5606.20352304205</v>
      </c>
      <c r="U29" s="41" t="n">
        <f aca="false">U28/1000*Scenarios!$F$26</f>
        <v>4776.48540163183</v>
      </c>
      <c r="V29" s="41" t="n">
        <f aca="false">V28/1000*Scenarios!$F$26</f>
        <v>4069.56556219032</v>
      </c>
      <c r="W29" s="41" t="n">
        <f aca="false">W28/1000*Scenarios!$F$26</f>
        <v>3467.26985898615</v>
      </c>
      <c r="X29" s="41" t="n">
        <f aca="false">X28/1000*Scenarios!$F$26</f>
        <v>2954.1139198562</v>
      </c>
      <c r="Y29" s="41" t="n">
        <f aca="false">Y28/1000*Scenarios!$F$26</f>
        <v>2516.90505971748</v>
      </c>
      <c r="Z29" s="41" t="n">
        <f aca="false">Z28/1000*Scenarios!$F$26</f>
        <v>2144.40311087929</v>
      </c>
      <c r="AA29" s="41" t="n">
        <f aca="false">AA28/1000*Scenarios!$F$26</f>
        <v>1827.03145046916</v>
      </c>
      <c r="AB29" s="41" t="n">
        <f aca="false">AB28/1000*Scenarios!$F$26</f>
        <v>1556.63079579972</v>
      </c>
    </row>
    <row r="31" customFormat="false" ht="15" hidden="false" customHeight="false" outlineLevel="0" collapsed="false">
      <c r="A31" s="14" t="s">
        <v>194</v>
      </c>
      <c r="B31" s="8" t="s">
        <v>126</v>
      </c>
      <c r="C31" s="9" t="s">
        <v>195</v>
      </c>
      <c r="D31" s="27" t="n">
        <f aca="false">SUM(E31:AB31)</f>
        <v>794138.629677615</v>
      </c>
      <c r="E31" s="40" t="n">
        <f aca="false">Scenarios!$G$23*(1-Scenarios!$G$22)^(E$4-1)</f>
        <v>127530.28420969</v>
      </c>
      <c r="F31" s="40" t="n">
        <f aca="false">Scenarios!$G$23*(1-Scenarios!$G$22)^(F$4-1)</f>
        <v>107380.499304559</v>
      </c>
      <c r="G31" s="40" t="n">
        <f aca="false">Scenarios!$G$23*(1-Scenarios!$G$22)^(G$4-1)</f>
        <v>90414.3804144385</v>
      </c>
      <c r="H31" s="40" t="n">
        <f aca="false">Scenarios!$G$23*(1-Scenarios!$G$22)^(H$4-1)</f>
        <v>76128.9083089572</v>
      </c>
      <c r="I31" s="40" t="n">
        <f aca="false">Scenarios!$G$23*(1-Scenarios!$G$22)^(I$4-1)</f>
        <v>64100.540796142</v>
      </c>
      <c r="J31" s="40" t="n">
        <f aca="false">Scenarios!$G$23*(1-Scenarios!$G$22)^(J$4-1)</f>
        <v>53972.6553503515</v>
      </c>
      <c r="K31" s="40" t="n">
        <f aca="false">Scenarios!$G$23*(1-Scenarios!$G$22)^(K$4-1)</f>
        <v>45444.975804996</v>
      </c>
      <c r="L31" s="40" t="n">
        <f aca="false">Scenarios!$G$23*(1-Scenarios!$G$22)^(L$4-1)</f>
        <v>38264.6696278066</v>
      </c>
      <c r="M31" s="40" t="n">
        <f aca="false">Scenarios!$G$23*(1-Scenarios!$G$22)^(M$4-1)</f>
        <v>32218.8518266132</v>
      </c>
      <c r="N31" s="40" t="n">
        <f aca="false">Scenarios!$G$23*(1-Scenarios!$G$22)^(N$4-1)</f>
        <v>27128.2732380083</v>
      </c>
      <c r="O31" s="40" t="n">
        <f aca="false">Scenarios!$G$23*(1-Scenarios!$G$22)^(O$4-1)</f>
        <v>22842.006066403</v>
      </c>
      <c r="P31" s="40" t="n">
        <f aca="false">Scenarios!$G$23*(1-Scenarios!$G$22)^(P$4-1)</f>
        <v>19232.9691079113</v>
      </c>
      <c r="Q31" s="40" t="n">
        <f aca="false">Scenarios!$G$23*(1-Scenarios!$G$22)^(Q$4-1)</f>
        <v>16194.1599888613</v>
      </c>
      <c r="R31" s="40" t="n">
        <f aca="false">Scenarios!$G$23*(1-Scenarios!$G$22)^(R$4-1)</f>
        <v>13635.4827106212</v>
      </c>
      <c r="S31" s="40" t="n">
        <f aca="false">Scenarios!$G$23*(1-Scenarios!$G$22)^(S$4-1)</f>
        <v>11481.0764423431</v>
      </c>
      <c r="T31" s="40" t="n">
        <f aca="false">Scenarios!$G$23*(1-Scenarios!$G$22)^(T$4-1)</f>
        <v>9667.06636445287</v>
      </c>
      <c r="U31" s="40" t="n">
        <f aca="false">Scenarios!$G$23*(1-Scenarios!$G$22)^(U$4-1)</f>
        <v>8139.66987886932</v>
      </c>
      <c r="V31" s="40" t="n">
        <f aca="false">Scenarios!$G$23*(1-Scenarios!$G$22)^(V$4-1)</f>
        <v>6853.60203800796</v>
      </c>
      <c r="W31" s="40" t="n">
        <f aca="false">Scenarios!$G$23*(1-Scenarios!$G$22)^(W$4-1)</f>
        <v>5770.73291600271</v>
      </c>
      <c r="X31" s="40" t="n">
        <f aca="false">Scenarios!$G$23*(1-Scenarios!$G$22)^(X$4-1)</f>
        <v>4858.95711527428</v>
      </c>
      <c r="Y31" s="40" t="n">
        <f aca="false">Scenarios!$G$23*(1-Scenarios!$G$22)^(Y$4-1)</f>
        <v>4091.24189106094</v>
      </c>
      <c r="Z31" s="40" t="n">
        <f aca="false">Scenarios!$G$23*(1-Scenarios!$G$22)^(Z$4-1)</f>
        <v>3444.82567227331</v>
      </c>
      <c r="AA31" s="40" t="n">
        <f aca="false">Scenarios!$G$23*(1-Scenarios!$G$22)^(AA$4-1)</f>
        <v>2900.54321605413</v>
      </c>
      <c r="AB31" s="40" t="n">
        <f aca="false">Scenarios!$G$23*(1-Scenarios!$G$22)^(AB$4-1)</f>
        <v>2442.25738791758</v>
      </c>
    </row>
    <row r="32" customFormat="false" ht="15" hidden="false" customHeight="false" outlineLevel="0" collapsed="false">
      <c r="A32" s="14"/>
      <c r="B32" s="9"/>
      <c r="C32" s="9" t="s">
        <v>196</v>
      </c>
      <c r="D32" s="36" t="n">
        <f aca="false">SUM(E32:AB32)</f>
        <v>1</v>
      </c>
      <c r="E32" s="21" t="n">
        <f aca="false">E31/$D$31</f>
        <v>0.160589448043173</v>
      </c>
      <c r="F32" s="21" t="n">
        <f aca="false">F31/$D$31</f>
        <v>0.135216315252352</v>
      </c>
      <c r="G32" s="21" t="n">
        <f aca="false">G31/$D$31</f>
        <v>0.11385213744248</v>
      </c>
      <c r="H32" s="21" t="n">
        <f aca="false">H31/$D$31</f>
        <v>0.0958634997265681</v>
      </c>
      <c r="I32" s="21" t="n">
        <f aca="false">I31/$D$31</f>
        <v>0.0807170667697704</v>
      </c>
      <c r="J32" s="21" t="n">
        <f aca="false">J31/$D$31</f>
        <v>0.0679637702201466</v>
      </c>
      <c r="K32" s="21" t="n">
        <f aca="false">K31/$D$31</f>
        <v>0.0572254945253635</v>
      </c>
      <c r="L32" s="21" t="n">
        <f aca="false">L31/$D$31</f>
        <v>0.048183866390356</v>
      </c>
      <c r="M32" s="21" t="n">
        <f aca="false">M31/$D$31</f>
        <v>0.0405708155006798</v>
      </c>
      <c r="N32" s="21" t="n">
        <f aca="false">N31/$D$31</f>
        <v>0.0341606266515724</v>
      </c>
      <c r="O32" s="21" t="n">
        <f aca="false">O31/$D$31</f>
        <v>0.0287632476406239</v>
      </c>
      <c r="P32" s="21" t="n">
        <f aca="false">P31/$D$31</f>
        <v>0.0242186545134054</v>
      </c>
      <c r="Q32" s="21" t="n">
        <f aca="false">Q31/$D$31</f>
        <v>0.0203921071002873</v>
      </c>
      <c r="R32" s="21" t="n">
        <f aca="false">R31/$D$31</f>
        <v>0.0171701541784419</v>
      </c>
      <c r="S32" s="21" t="n">
        <f aca="false">S31/$D$31</f>
        <v>0.0144572698182481</v>
      </c>
      <c r="T32" s="21" t="n">
        <f aca="false">T31/$D$31</f>
        <v>0.0121730211869649</v>
      </c>
      <c r="U32" s="21" t="n">
        <f aca="false">U31/$D$31</f>
        <v>0.0102496838394244</v>
      </c>
      <c r="V32" s="21" t="n">
        <f aca="false">V31/$D$31</f>
        <v>0.00863023379279538</v>
      </c>
      <c r="W32" s="21" t="n">
        <f aca="false">W31/$D$31</f>
        <v>0.00726665685353371</v>
      </c>
      <c r="X32" s="21" t="n">
        <f aca="false">X31/$D$31</f>
        <v>0.00611852507067538</v>
      </c>
      <c r="Y32" s="21" t="n">
        <f aca="false">Y31/$D$31</f>
        <v>0.00515179810950867</v>
      </c>
      <c r="Z32" s="21" t="n">
        <f aca="false">Z31/$D$31</f>
        <v>0.0043378140082063</v>
      </c>
      <c r="AA32" s="21" t="n">
        <f aca="false">AA31/$D$31</f>
        <v>0.0036524393949097</v>
      </c>
      <c r="AB32" s="21" t="n">
        <f aca="false">AB31/$D$31</f>
        <v>0.00307535397051397</v>
      </c>
    </row>
    <row r="33" customFormat="false" ht="15" hidden="false" customHeight="false" outlineLevel="0" collapsed="false">
      <c r="A33" s="14"/>
      <c r="B33" s="9"/>
      <c r="C33" s="9" t="s">
        <v>197</v>
      </c>
      <c r="D33" s="27" t="n">
        <f aca="false">SUM(E33:AB33)</f>
        <v>624083.37179571</v>
      </c>
      <c r="E33" s="40" t="n">
        <f aca="false">E31*'Title Inputs'!$G$16*'Title Inputs'!$G$11*Scenarios!$G$24/60</f>
        <v>100221.204209595</v>
      </c>
      <c r="F33" s="40" t="n">
        <f aca="false">F31*'Title Inputs'!$G$16*'Title Inputs'!$G$11*Scenarios!$G$24/60</f>
        <v>84386.2539444792</v>
      </c>
      <c r="G33" s="40" t="n">
        <f aca="false">G31*'Title Inputs'!$G$16*'Title Inputs'!$G$11*Scenarios!$G$24/60</f>
        <v>71053.2258212514</v>
      </c>
      <c r="H33" s="40" t="n">
        <f aca="false">H31*'Title Inputs'!$G$16*'Title Inputs'!$G$11*Scenarios!$G$24/60</f>
        <v>59826.8161414937</v>
      </c>
      <c r="I33" s="40" t="n">
        <f aca="false">I31*'Title Inputs'!$G$16*'Title Inputs'!$G$11*Scenarios!$G$24/60</f>
        <v>50374.1791911377</v>
      </c>
      <c r="J33" s="40" t="n">
        <f aca="false">J31*'Title Inputs'!$G$16*'Title Inputs'!$G$11*Scenarios!$G$24/60</f>
        <v>42415.058878938</v>
      </c>
      <c r="K33" s="40" t="n">
        <f aca="false">K31*'Title Inputs'!$G$16*'Title Inputs'!$G$11*Scenarios!$G$24/60</f>
        <v>35713.4795760658</v>
      </c>
      <c r="L33" s="40" t="n">
        <f aca="false">L31*'Title Inputs'!$G$16*'Title Inputs'!$G$11*Scenarios!$G$24/60</f>
        <v>30070.7498030474</v>
      </c>
      <c r="M33" s="40" t="n">
        <f aca="false">M31*'Title Inputs'!$G$16*'Title Inputs'!$G$11*Scenarios!$G$24/60</f>
        <v>25319.5713341659</v>
      </c>
      <c r="N33" s="40" t="n">
        <f aca="false">N31*'Title Inputs'!$G$16*'Title Inputs'!$G$11*Scenarios!$G$24/60</f>
        <v>21319.0790633677</v>
      </c>
      <c r="O33" s="40" t="n">
        <f aca="false">O31*'Title Inputs'!$G$16*'Title Inputs'!$G$11*Scenarios!$G$24/60</f>
        <v>17950.6645713556</v>
      </c>
      <c r="P33" s="40" t="n">
        <f aca="false">P31*'Title Inputs'!$G$16*'Title Inputs'!$G$11*Scenarios!$G$24/60</f>
        <v>15114.4595690814</v>
      </c>
      <c r="Q33" s="40" t="n">
        <f aca="false">Q31*'Title Inputs'!$G$16*'Title Inputs'!$G$11*Scenarios!$G$24/60</f>
        <v>12726.3749571665</v>
      </c>
      <c r="R33" s="40" t="n">
        <f aca="false">R31*'Title Inputs'!$G$16*'Title Inputs'!$G$11*Scenarios!$G$24/60</f>
        <v>10715.6077139342</v>
      </c>
      <c r="S33" s="40" t="n">
        <f aca="false">S31*'Title Inputs'!$G$16*'Title Inputs'!$G$11*Scenarios!$G$24/60</f>
        <v>9022.54169513261</v>
      </c>
      <c r="T33" s="40" t="n">
        <f aca="false">T31*'Title Inputs'!$G$16*'Title Inputs'!$G$11*Scenarios!$G$24/60</f>
        <v>7596.98010730166</v>
      </c>
      <c r="U33" s="40" t="n">
        <f aca="false">U31*'Title Inputs'!$G$16*'Title Inputs'!$G$11*Scenarios!$G$24/60</f>
        <v>6396.657250348</v>
      </c>
      <c r="V33" s="40" t="n">
        <f aca="false">V31*'Title Inputs'!$G$16*'Title Inputs'!$G$11*Scenarios!$G$24/60</f>
        <v>5385.98540479302</v>
      </c>
      <c r="W33" s="40" t="n">
        <f aca="false">W31*'Title Inputs'!$G$16*'Title Inputs'!$G$11*Scenarios!$G$24/60</f>
        <v>4534.99971083572</v>
      </c>
      <c r="X33" s="40" t="n">
        <f aca="false">X31*'Title Inputs'!$G$16*'Title Inputs'!$G$11*Scenarios!$G$24/60</f>
        <v>3818.46975652367</v>
      </c>
      <c r="Y33" s="40" t="n">
        <f aca="false">Y31*'Title Inputs'!$G$16*'Title Inputs'!$G$11*Scenarios!$G$24/60</f>
        <v>3215.15153499293</v>
      </c>
      <c r="Z33" s="40" t="n">
        <f aca="false">Z31*'Title Inputs'!$G$16*'Title Inputs'!$G$11*Scenarios!$G$24/60</f>
        <v>2707.15759246405</v>
      </c>
      <c r="AA33" s="40" t="n">
        <f aca="false">AA31*'Title Inputs'!$G$16*'Title Inputs'!$G$11*Scenarios!$G$24/60</f>
        <v>2279.42669285473</v>
      </c>
      <c r="AB33" s="40" t="n">
        <f aca="false">AB31*'Title Inputs'!$G$16*'Title Inputs'!$G$11*Scenarios!$G$24/60</f>
        <v>1919.27727538368</v>
      </c>
    </row>
    <row r="34" customFormat="false" ht="15" hidden="false" customHeight="false" outlineLevel="0" collapsed="false">
      <c r="A34" s="14"/>
      <c r="B34" s="9"/>
      <c r="C34" s="9" t="s">
        <v>198</v>
      </c>
      <c r="D34" s="27" t="n">
        <f aca="false">SUM(E34:AB34)</f>
        <v>6880519.1740477</v>
      </c>
      <c r="E34" s="40" t="n">
        <f aca="false">E33*'Title Inputs'!$G$24*Scenarios!$G$25</f>
        <v>1104938.77641079</v>
      </c>
      <c r="F34" s="40" t="n">
        <f aca="false">F33*'Title Inputs'!$G$24*Scenarios!$G$25</f>
        <v>930358.449737883</v>
      </c>
      <c r="G34" s="40" t="n">
        <f aca="false">G33*'Title Inputs'!$G$24*Scenarios!$G$25</f>
        <v>783361.814679297</v>
      </c>
      <c r="H34" s="40" t="n">
        <f aca="false">H33*'Title Inputs'!$G$24*Scenarios!$G$25</f>
        <v>659590.647959968</v>
      </c>
      <c r="I34" s="40" t="n">
        <f aca="false">I33*'Title Inputs'!$G$24*Scenarios!$G$25</f>
        <v>555375.325582293</v>
      </c>
      <c r="J34" s="40" t="n">
        <f aca="false">J33*'Title Inputs'!$G$24*Scenarios!$G$25</f>
        <v>467626.024140291</v>
      </c>
      <c r="K34" s="40" t="n">
        <f aca="false">K33*'Title Inputs'!$G$24*Scenarios!$G$25</f>
        <v>393741.112326125</v>
      </c>
      <c r="L34" s="40" t="n">
        <f aca="false">L33*'Title Inputs'!$G$24*Scenarios!$G$25</f>
        <v>331530.016578597</v>
      </c>
      <c r="M34" s="40" t="n">
        <f aca="false">M33*'Title Inputs'!$G$24*Scenarios!$G$25</f>
        <v>279148.273959179</v>
      </c>
      <c r="N34" s="40" t="n">
        <f aca="false">N33*'Title Inputs'!$G$24*Scenarios!$G$25</f>
        <v>235042.846673629</v>
      </c>
      <c r="O34" s="40" t="n">
        <f aca="false">O33*'Title Inputs'!$G$24*Scenarios!$G$25</f>
        <v>197906.076899195</v>
      </c>
      <c r="P34" s="40" t="n">
        <f aca="false">P33*'Title Inputs'!$G$24*Scenarios!$G$25</f>
        <v>166636.916749122</v>
      </c>
      <c r="Q34" s="40" t="n">
        <f aca="false">Q33*'Title Inputs'!$G$24*Scenarios!$G$25</f>
        <v>140308.283902761</v>
      </c>
      <c r="R34" s="40" t="n">
        <f aca="false">R33*'Title Inputs'!$G$24*Scenarios!$G$25</f>
        <v>118139.575046125</v>
      </c>
      <c r="S34" s="40" t="n">
        <f aca="false">S33*'Title Inputs'!$G$24*Scenarios!$G$25</f>
        <v>99473.5221888371</v>
      </c>
      <c r="T34" s="40" t="n">
        <f aca="false">T33*'Title Inputs'!$G$24*Scenarios!$G$25</f>
        <v>83756.7056830008</v>
      </c>
      <c r="U34" s="40" t="n">
        <f aca="false">U33*'Title Inputs'!$G$24*Scenarios!$G$25</f>
        <v>70523.1461850867</v>
      </c>
      <c r="V34" s="40" t="n">
        <f aca="false">V33*'Title Inputs'!$G$24*Scenarios!$G$25</f>
        <v>59380.489087843</v>
      </c>
      <c r="W34" s="40" t="n">
        <f aca="false">W33*'Title Inputs'!$G$24*Scenarios!$G$25</f>
        <v>49998.3718119638</v>
      </c>
      <c r="X34" s="40" t="n">
        <f aca="false">X33*'Title Inputs'!$G$24*Scenarios!$G$25</f>
        <v>42098.6290656735</v>
      </c>
      <c r="Y34" s="40" t="n">
        <f aca="false">Y33*'Title Inputs'!$G$24*Scenarios!$G$25</f>
        <v>35447.0456732971</v>
      </c>
      <c r="Z34" s="40" t="n">
        <f aca="false">Z33*'Title Inputs'!$G$24*Scenarios!$G$25</f>
        <v>29846.4124569162</v>
      </c>
      <c r="AA34" s="40" t="n">
        <f aca="false">AA33*'Title Inputs'!$G$24*Scenarios!$G$25</f>
        <v>25130.6792887234</v>
      </c>
      <c r="AB34" s="40" t="n">
        <f aca="false">AB33*'Title Inputs'!$G$24*Scenarios!$G$25</f>
        <v>21160.0319611051</v>
      </c>
    </row>
    <row r="35" customFormat="false" ht="15" hidden="false" customHeight="false" outlineLevel="0" collapsed="false">
      <c r="A35" s="14"/>
      <c r="B35" s="9"/>
      <c r="C35" s="9" t="s">
        <v>199</v>
      </c>
      <c r="D35" s="34" t="n">
        <f aca="false">SUM(E35:AB35)</f>
        <v>128803.318938173</v>
      </c>
      <c r="E35" s="41" t="n">
        <f aca="false">E34/1000*Scenarios!$G$26</f>
        <v>20684.4538944099</v>
      </c>
      <c r="F35" s="41" t="n">
        <f aca="false">F34/1000*Scenarios!$G$26</f>
        <v>17416.3101790932</v>
      </c>
      <c r="G35" s="41" t="n">
        <f aca="false">G34/1000*Scenarios!$G$26</f>
        <v>14664.5331707964</v>
      </c>
      <c r="H35" s="41" t="n">
        <f aca="false">H34/1000*Scenarios!$G$26</f>
        <v>12347.5369298106</v>
      </c>
      <c r="I35" s="41" t="n">
        <f aca="false">I34/1000*Scenarios!$G$26</f>
        <v>10396.6260949005</v>
      </c>
      <c r="J35" s="41" t="n">
        <f aca="false">J34/1000*Scenarios!$G$26</f>
        <v>8753.95917190625</v>
      </c>
      <c r="K35" s="41" t="n">
        <f aca="false">K34/1000*Scenarios!$G$26</f>
        <v>7370.83362274506</v>
      </c>
      <c r="L35" s="41" t="n">
        <f aca="false">L34/1000*Scenarios!$G$26</f>
        <v>6206.24191035134</v>
      </c>
      <c r="M35" s="41" t="n">
        <f aca="false">M34/1000*Scenarios!$G$26</f>
        <v>5225.65568851583</v>
      </c>
      <c r="N35" s="41" t="n">
        <f aca="false">N34/1000*Scenarios!$G$26</f>
        <v>4400.00208973033</v>
      </c>
      <c r="O35" s="41" t="n">
        <f aca="false">O34/1000*Scenarios!$G$26</f>
        <v>3704.80175955293</v>
      </c>
      <c r="P35" s="41" t="n">
        <f aca="false">P34/1000*Scenarios!$G$26</f>
        <v>3119.44308154357</v>
      </c>
      <c r="Q35" s="41" t="n">
        <f aca="false">Q34/1000*Scenarios!$G$26</f>
        <v>2626.57107465969</v>
      </c>
      <c r="R35" s="41" t="n">
        <f aca="false">R34/1000*Scenarios!$G$26</f>
        <v>2211.57284486346</v>
      </c>
      <c r="S35" s="41" t="n">
        <f aca="false">S34/1000*Scenarios!$G$26</f>
        <v>1862.14433537503</v>
      </c>
      <c r="T35" s="41" t="n">
        <f aca="false">T34/1000*Scenarios!$G$26</f>
        <v>1567.92553038578</v>
      </c>
      <c r="U35" s="41" t="n">
        <f aca="false">U34/1000*Scenarios!$G$26</f>
        <v>1320.19329658482</v>
      </c>
      <c r="V35" s="41" t="n">
        <f aca="false">V34/1000*Scenarios!$G$26</f>
        <v>1111.60275572442</v>
      </c>
      <c r="W35" s="41" t="n">
        <f aca="false">W34/1000*Scenarios!$G$26</f>
        <v>935.969520319962</v>
      </c>
      <c r="X35" s="41" t="n">
        <f aca="false">X34/1000*Scenarios!$G$26</f>
        <v>788.086336109408</v>
      </c>
      <c r="Y35" s="41" t="n">
        <f aca="false">Y34/1000*Scenarios!$G$26</f>
        <v>663.568695004121</v>
      </c>
      <c r="Z35" s="41" t="n">
        <f aca="false">Z34/1000*Scenarios!$G$26</f>
        <v>558.72484119347</v>
      </c>
      <c r="AA35" s="41" t="n">
        <f aca="false">AA34/1000*Scenarios!$G$26</f>
        <v>470.446316284902</v>
      </c>
      <c r="AB35" s="41" t="n">
        <f aca="false">AB34/1000*Scenarios!$G$26</f>
        <v>396.115798311887</v>
      </c>
    </row>
    <row r="37" customFormat="false" ht="15" hidden="false" customHeight="false" outlineLevel="0" collapsed="false">
      <c r="B37" s="42" t="s">
        <v>200</v>
      </c>
      <c r="C37" s="42" t="s">
        <v>201</v>
      </c>
      <c r="D37" s="27" t="n">
        <f aca="false">$D$7+$D$13+$D$19+$D$25+$D$31</f>
        <v>10819822.0770796</v>
      </c>
      <c r="E37" s="27" t="n">
        <f aca="false">E7+E13+E19+E25+E31</f>
        <v>1490647.26152396</v>
      </c>
      <c r="F37" s="27" t="n">
        <f aca="false">F7+F13+F19+F25+F31</f>
        <v>1290902.89657788</v>
      </c>
      <c r="G37" s="27" t="n">
        <f aca="false">G7+G13+G19+G25+G31</f>
        <v>1118109.70943556</v>
      </c>
      <c r="H37" s="27" t="n">
        <f aca="false">H7+H13+H19+H25+H31</f>
        <v>968604.751525732</v>
      </c>
      <c r="I37" s="27" t="n">
        <f aca="false">I7+I13+I19+I25+I31</f>
        <v>839226.672082755</v>
      </c>
      <c r="J37" s="27" t="n">
        <f aca="false">J7+J13+J19+J25+J31</f>
        <v>727246.496126422</v>
      </c>
      <c r="K37" s="27" t="n">
        <f aca="false">K7+K13+K19+K25+K31</f>
        <v>630308.03085617</v>
      </c>
      <c r="L37" s="27" t="n">
        <f aca="false">L7+L13+L19+L25+L31</f>
        <v>546376.550538892</v>
      </c>
      <c r="M37" s="27" t="n">
        <f aca="false">M7+M13+M19+M25+M31</f>
        <v>473694.600729915</v>
      </c>
      <c r="N37" s="27" t="n">
        <f aca="false">N7+N13+N19+N25+N31</f>
        <v>410743.926260096</v>
      </c>
      <c r="O37" s="27" t="n">
        <f aca="false">O7+O13+O19+O25+O31</f>
        <v>356212.667746766</v>
      </c>
      <c r="P37" s="27" t="n">
        <f aca="false">P7+P13+P19+P25+P31</f>
        <v>308967.091777313</v>
      </c>
      <c r="Q37" s="27" t="n">
        <f aca="false">Q7+Q13+Q19+Q25+Q31</f>
        <v>268027.223224862</v>
      </c>
      <c r="R37" s="27" t="n">
        <f aca="false">R7+R13+R19+R25+R31</f>
        <v>232545.836827646</v>
      </c>
      <c r="S37" s="27" t="n">
        <f aca="false">S7+S13+S19+S25+S31</f>
        <v>201790.341287565</v>
      </c>
      <c r="T37" s="27" t="n">
        <f aca="false">T7+T13+T19+T25+T31</f>
        <v>175127.154508493</v>
      </c>
      <c r="U37" s="27" t="n">
        <f aca="false">U7+U13+U19+U25+U31</f>
        <v>152008.224733575</v>
      </c>
      <c r="V37" s="27" t="n">
        <f aca="false">V7+V13+V19+V25+V31</f>
        <v>131959.400565524</v>
      </c>
      <c r="W37" s="27" t="n">
        <f aca="false">W7+W13+W19+W25+W31</f>
        <v>114570.394289063</v>
      </c>
      <c r="X37" s="27" t="n">
        <f aca="false">X7+X13+X19+X25+X31</f>
        <v>99486.1185236859</v>
      </c>
      <c r="Y37" s="27" t="n">
        <f aca="false">Y7+Y13+Y19+Y25+Y31</f>
        <v>86399.2068433413</v>
      </c>
      <c r="Z37" s="27" t="n">
        <f aca="false">Z7+Z13+Z19+Z25+Z31</f>
        <v>75043.5553153039</v>
      </c>
      <c r="AA37" s="27" t="n">
        <f aca="false">AA7+AA13+AA19+AA25+AA31</f>
        <v>65188.7445401683</v>
      </c>
      <c r="AB37" s="27" t="n">
        <f aca="false">AB7+AB13+AB19+AB25+AB31</f>
        <v>56635.2212389216</v>
      </c>
    </row>
    <row r="38" customFormat="false" ht="15" hidden="false" customHeight="false" outlineLevel="0" collapsed="false">
      <c r="B38" s="42" t="s">
        <v>200</v>
      </c>
      <c r="C38" s="42" t="s">
        <v>202</v>
      </c>
      <c r="D38" s="27" t="n">
        <f aca="false">$D$9+$D$15+$D$21+$D$27+$D$33</f>
        <v>14529861.7330743</v>
      </c>
      <c r="E38" s="27" t="n">
        <f aca="false">E9+E15+E21+E27+E33</f>
        <v>1978778.85841229</v>
      </c>
      <c r="F38" s="27" t="n">
        <f aca="false">F9+F15+F21+F27+F33</f>
        <v>1717299.9009845</v>
      </c>
      <c r="G38" s="27" t="n">
        <f aca="false">G9+G15+G21+G27+G33</f>
        <v>1490580.78154561</v>
      </c>
      <c r="H38" s="27" t="n">
        <f aca="false">H9+H15+H21+H27+H33</f>
        <v>1293971.13942497</v>
      </c>
      <c r="I38" s="27" t="n">
        <f aca="false">I9+I15+I21+I27+I33</f>
        <v>1123446.96425555</v>
      </c>
      <c r="J38" s="27" t="n">
        <f aca="false">J9+J15+J21+J27+J33</f>
        <v>975525.637711179</v>
      </c>
      <c r="K38" s="27" t="n">
        <f aca="false">K9+K15+K21+K27+K33</f>
        <v>847192.583428671</v>
      </c>
      <c r="L38" s="27" t="n">
        <f aca="false">L9+L15+L21+L27+L33</f>
        <v>735837.927109837</v>
      </c>
      <c r="M38" s="27" t="n">
        <f aca="false">M9+M15+M21+M27+M33</f>
        <v>639201.79046491</v>
      </c>
      <c r="N38" s="27" t="n">
        <f aca="false">N9+N15+N21+N27+N33</f>
        <v>555327.033340693</v>
      </c>
      <c r="O38" s="27" t="n">
        <f aca="false">O9+O15+O21+O27+O33</f>
        <v>482518.42243781</v>
      </c>
      <c r="P38" s="27" t="n">
        <f aca="false">P9+P15+P21+P27+P33</f>
        <v>419307.34620684</v>
      </c>
      <c r="Q38" s="27" t="n">
        <f aca="false">Q9+Q15+Q21+Q27+Q33</f>
        <v>364421.317036935</v>
      </c>
      <c r="R38" s="27" t="n">
        <f aca="false">R9+R15+R21+R27+R33</f>
        <v>316757.60647187</v>
      </c>
      <c r="S38" s="27" t="n">
        <f aca="false">S9+S15+S21+S27+S33</f>
        <v>275360.449276246</v>
      </c>
      <c r="T38" s="27" t="n">
        <f aca="false">T9+T15+T21+T27+T33</f>
        <v>239401.329763331</v>
      </c>
      <c r="U38" s="27" t="n">
        <f aca="false">U9+U15+U21+U27+U33</f>
        <v>208161.930633047</v>
      </c>
      <c r="V38" s="27" t="n">
        <f aca="false">V9+V15+V21+V27+V33</f>
        <v>181019.382155412</v>
      </c>
      <c r="W38" s="27" t="n">
        <f aca="false">W9+W15+W21+W27+W33</f>
        <v>157433.499161202</v>
      </c>
      <c r="X38" s="27" t="n">
        <f aca="false">X9+X15+X21+X27+X33</f>
        <v>136935.736076581</v>
      </c>
      <c r="Y38" s="27" t="n">
        <f aca="false">Y9+Y15+Y21+Y27+Y33</f>
        <v>119119.627115093</v>
      </c>
      <c r="Z38" s="27" t="n">
        <f aca="false">Z9+Z15+Z21+Z27+Z33</f>
        <v>103632.510538231</v>
      </c>
      <c r="AA38" s="27" t="n">
        <f aca="false">AA9+AA15+AA21+AA27+AA33</f>
        <v>90168.3633196197</v>
      </c>
      <c r="AB38" s="27" t="n">
        <f aca="false">AB9+AB15+AB21+AB27+AB33</f>
        <v>78461.5962039119</v>
      </c>
    </row>
    <row r="39" customFormat="false" ht="15" hidden="false" customHeight="false" outlineLevel="0" collapsed="false">
      <c r="B39" s="42" t="s">
        <v>200</v>
      </c>
      <c r="C39" s="42" t="s">
        <v>203</v>
      </c>
      <c r="D39" s="27" t="n">
        <f aca="false">$D$10+$D$16+$D$22+$D$28+$D$34</f>
        <v>180289771.922169</v>
      </c>
      <c r="E39" s="27" t="n">
        <f aca="false">E10+E16+E22+E28+E34</f>
        <v>24477564.8260138</v>
      </c>
      <c r="F39" s="27" t="n">
        <f aca="false">F10+F16+F22+F28+F34</f>
        <v>21255183.8977955</v>
      </c>
      <c r="G39" s="27" t="n">
        <f aca="false">G10+G16+G22+G28+G34</f>
        <v>18459447.2341179</v>
      </c>
      <c r="H39" s="27" t="n">
        <f aca="false">H10+H16+H22+H28+H34</f>
        <v>16033520.9321255</v>
      </c>
      <c r="I39" s="27" t="n">
        <f aca="false">I10+I16+I22+I28+I34</f>
        <v>13928191.2657047</v>
      </c>
      <c r="J39" s="27" t="n">
        <f aca="false">J10+J16+J22+J28+J34</f>
        <v>12100835.9872169</v>
      </c>
      <c r="K39" s="27" t="n">
        <f aca="false">K10+K16+K22+K28+K34</f>
        <v>10514535.4933382</v>
      </c>
      <c r="L39" s="27" t="n">
        <f aca="false">L10+L16+L22+L28+L34</f>
        <v>9137304.69811246</v>
      </c>
      <c r="M39" s="27" t="n">
        <f aca="false">M10+M16+M22+M28+M34</f>
        <v>7941429.1000756</v>
      </c>
      <c r="N39" s="27" t="n">
        <f aca="false">N10+N16+N22+N28+N34</f>
        <v>6902890.80640651</v>
      </c>
      <c r="O39" s="27" t="n">
        <f aca="false">O10+O16+O22+O28+O34</f>
        <v>6000872.2370319</v>
      </c>
      <c r="P39" s="27" t="n">
        <f aca="false">P10+P16+P22+P28+P34</f>
        <v>5217326.91969346</v>
      </c>
      <c r="Q39" s="27" t="n">
        <f aca="false">Q10+Q16+Q22+Q28+Q34</f>
        <v>4536608.24119161</v>
      </c>
      <c r="R39" s="27" t="n">
        <f aca="false">R10+R16+R22+R28+R34</f>
        <v>3945148.27299673</v>
      </c>
      <c r="S39" s="27" t="n">
        <f aca="false">S10+S16+S22+S28+S34</f>
        <v>3431179.86922811</v>
      </c>
      <c r="T39" s="27" t="n">
        <f aca="false">T10+T16+T22+T28+T34</f>
        <v>2984496.1657582</v>
      </c>
      <c r="U39" s="27" t="n">
        <f aca="false">U10+U16+U22+U28+U34</f>
        <v>2596242.41163626</v>
      </c>
      <c r="V39" s="27" t="n">
        <f aca="false">V10+V16+V22+V28+V34</f>
        <v>2258735.7559697</v>
      </c>
      <c r="W39" s="27" t="n">
        <f aca="false">W10+W16+W22+W28+W34</f>
        <v>1965309.21018085</v>
      </c>
      <c r="X39" s="27" t="n">
        <f aca="false">X10+X16+X22+X28+X34</f>
        <v>1710176.52036206</v>
      </c>
      <c r="Y39" s="27" t="n">
        <f aca="false">Y10+Y16+Y22+Y28+Y34</f>
        <v>1488315.12862642</v>
      </c>
      <c r="Z39" s="27" t="n">
        <f aca="false">Z10+Z16+Z22+Z28+Z34</f>
        <v>1295364.78566008</v>
      </c>
      <c r="AA39" s="27" t="n">
        <f aca="false">AA10+AA16+AA22+AA28+AA34</f>
        <v>1127539.70752763</v>
      </c>
      <c r="AB39" s="27" t="n">
        <f aca="false">AB10+AB16+AB22+AB28+AB34</f>
        <v>981552.455399486</v>
      </c>
    </row>
    <row r="40" customFormat="false" ht="15" hidden="false" customHeight="false" outlineLevel="0" collapsed="false">
      <c r="B40" s="42" t="s">
        <v>200</v>
      </c>
      <c r="C40" s="42" t="s">
        <v>204</v>
      </c>
      <c r="D40" s="34" t="n">
        <f aca="false">$D$11+$D$17+$D$23+$D$29+$D$35</f>
        <v>4131414.20513537</v>
      </c>
      <c r="E40" s="34" t="n">
        <f aca="false">E11+E17+E23+E29+E35</f>
        <v>558404.23514187</v>
      </c>
      <c r="F40" s="34" t="n">
        <f aca="false">F11+F17+F23+F29+F35</f>
        <v>485293.212318989</v>
      </c>
      <c r="G40" s="34" t="n">
        <f aca="false">G11+G17+G23+G29+G35</f>
        <v>421805.379116649</v>
      </c>
      <c r="H40" s="34" t="n">
        <f aca="false">H11+H17+H23+H29+H35</f>
        <v>366666.843216623</v>
      </c>
      <c r="I40" s="34" t="n">
        <f aca="false">I11+I17+I23+I29+I35</f>
        <v>318773.378591834</v>
      </c>
      <c r="J40" s="34" t="n">
        <f aca="false">J11+J17+J23+J29+J35</f>
        <v>277167.681310454</v>
      </c>
      <c r="K40" s="34" t="n">
        <f aca="false">K11+K17+K23+K29+K35</f>
        <v>241019.695116761</v>
      </c>
      <c r="L40" s="34" t="n">
        <f aca="false">L11+L17+L23+L29+L35</f>
        <v>209609.58950278</v>
      </c>
      <c r="M40" s="34" t="n">
        <f aca="false">M11+M17+M23+M29+M35</f>
        <v>182313.030126872</v>
      </c>
      <c r="N40" s="34" t="n">
        <f aca="false">N11+N17+N23+N29+N35</f>
        <v>158588.430693536</v>
      </c>
      <c r="O40" s="34" t="n">
        <f aca="false">O11+O17+O23+O29+O35</f>
        <v>137965.917878787</v>
      </c>
      <c r="P40" s="34" t="n">
        <f aca="false">P11+P17+P23+P29+P35</f>
        <v>120037.777510189</v>
      </c>
      <c r="Q40" s="34" t="n">
        <f aca="false">Q11+Q17+Q23+Q29+Q35</f>
        <v>104450.181800642</v>
      </c>
      <c r="R40" s="34" t="n">
        <f aca="false">R11+R17+R23+R29+R35</f>
        <v>90896.0246876463</v>
      </c>
      <c r="S40" s="34" t="n">
        <f aca="false">S11+S17+S23+S29+S35</f>
        <v>79108.7158451717</v>
      </c>
      <c r="T40" s="34" t="n">
        <f aca="false">T11+T17+T23+T29+T35</f>
        <v>68856.8042296831</v>
      </c>
      <c r="U40" s="34" t="n">
        <f aca="false">U11+U17+U23+U29+U35</f>
        <v>59939.3195399541</v>
      </c>
      <c r="V40" s="34" t="n">
        <f aca="false">V11+V17+V23+V29+V35</f>
        <v>52181.7350946274</v>
      </c>
      <c r="W40" s="34" t="n">
        <f aca="false">W11+W17+W23+W29+W35</f>
        <v>45432.4686916345</v>
      </c>
      <c r="X40" s="34" t="n">
        <f aca="false">X11+X17+X23+X29+X35</f>
        <v>39559.8492933776</v>
      </c>
      <c r="Y40" s="34" t="n">
        <f aca="false">Y11+Y17+Y23+Y29+Y35</f>
        <v>34449.4871255112</v>
      </c>
      <c r="Z40" s="34" t="n">
        <f aca="false">Z11+Z17+Z23+Z29+Z35</f>
        <v>30001.9931959013</v>
      </c>
      <c r="AA40" s="34" t="n">
        <f aca="false">AA11+AA17+AA23+AA29+AA35</f>
        <v>26131.0015154485</v>
      </c>
      <c r="AB40" s="34" t="n">
        <f aca="false">AB11+AB17+AB23+AB29+AB35</f>
        <v>22761.4535904293</v>
      </c>
    </row>
    <row r="41" customFormat="false" ht="15" hidden="false" customHeight="false" outlineLevel="0" collapsed="false">
      <c r="C41" s="9" t="s">
        <v>205</v>
      </c>
      <c r="D41" s="27" t="n">
        <f aca="false">AB41</f>
        <v>14529861.7330743</v>
      </c>
      <c r="E41" s="40" t="n">
        <f aca="false">SUM(E38:E38)</f>
        <v>1978778.85841229</v>
      </c>
      <c r="F41" s="40" t="n">
        <f aca="false">SUM(E38:F38)</f>
        <v>3696078.75939679</v>
      </c>
      <c r="G41" s="40" t="n">
        <f aca="false">SUM(E38:G38)</f>
        <v>5186659.5409424</v>
      </c>
      <c r="H41" s="40" t="n">
        <f aca="false">SUM(E38:H38)</f>
        <v>6480630.68036737</v>
      </c>
      <c r="I41" s="40" t="n">
        <f aca="false">SUM(E38:I38)</f>
        <v>7604077.64462292</v>
      </c>
      <c r="J41" s="40" t="n">
        <f aca="false">SUM(E38:J38)</f>
        <v>8579603.2823341</v>
      </c>
      <c r="K41" s="40" t="n">
        <f aca="false">SUM(E38:K38)</f>
        <v>9426795.86576277</v>
      </c>
      <c r="L41" s="40" t="n">
        <f aca="false">SUM(E38:L38)</f>
        <v>10162633.7928726</v>
      </c>
      <c r="M41" s="40" t="n">
        <f aca="false">SUM(E38:M38)</f>
        <v>10801835.5833375</v>
      </c>
      <c r="N41" s="40" t="n">
        <f aca="false">SUM(E38:N38)</f>
        <v>11357162.6166782</v>
      </c>
      <c r="O41" s="40" t="n">
        <f aca="false">SUM(E38:O38)</f>
        <v>11839681.039116</v>
      </c>
      <c r="P41" s="40" t="n">
        <f aca="false">SUM(E38:P38)</f>
        <v>12258988.3853229</v>
      </c>
      <c r="Q41" s="40" t="n">
        <f aca="false">SUM(E38:Q38)</f>
        <v>12623409.7023598</v>
      </c>
      <c r="R41" s="40" t="n">
        <f aca="false">SUM(E38:R38)</f>
        <v>12940167.3088317</v>
      </c>
      <c r="S41" s="40" t="n">
        <f aca="false">SUM(E38:S38)</f>
        <v>13215527.7581079</v>
      </c>
      <c r="T41" s="40" t="n">
        <f aca="false">SUM(E38:T38)</f>
        <v>13454929.0878712</v>
      </c>
      <c r="U41" s="40" t="n">
        <f aca="false">SUM(E38:U38)</f>
        <v>13663091.0185043</v>
      </c>
      <c r="V41" s="40" t="n">
        <f aca="false">SUM(E38:V38)</f>
        <v>13844110.4006597</v>
      </c>
      <c r="W41" s="40" t="n">
        <f aca="false">SUM(E38:W38)</f>
        <v>14001543.8998209</v>
      </c>
      <c r="X41" s="40" t="n">
        <f aca="false">SUM(E38:X38)</f>
        <v>14138479.6358975</v>
      </c>
      <c r="Y41" s="40" t="n">
        <f aca="false">SUM(E38:Y38)</f>
        <v>14257599.2630126</v>
      </c>
      <c r="Z41" s="40" t="n">
        <f aca="false">SUM(E38:Z38)</f>
        <v>14361231.7735508</v>
      </c>
      <c r="AA41" s="40" t="n">
        <f aca="false">SUM(E38:AA38)</f>
        <v>14451400.1368704</v>
      </c>
      <c r="AB41" s="40" t="n">
        <f aca="false">SUM(E38:AB38)</f>
        <v>14529861.7330743</v>
      </c>
    </row>
    <row r="42" customFormat="false" ht="15" hidden="false" customHeight="false" outlineLevel="0" collapsed="false">
      <c r="C42" s="9" t="s">
        <v>206</v>
      </c>
      <c r="D42" s="34" t="n">
        <f aca="false">AB42</f>
        <v>4131414.20513537</v>
      </c>
      <c r="E42" s="41" t="n">
        <f aca="false">SUM(E40:E40)</f>
        <v>558404.23514187</v>
      </c>
      <c r="F42" s="41" t="n">
        <f aca="false">SUM(E40:F40)</f>
        <v>1043697.44746086</v>
      </c>
      <c r="G42" s="41" t="n">
        <f aca="false">SUM(E40:G40)</f>
        <v>1465502.82657751</v>
      </c>
      <c r="H42" s="41" t="n">
        <f aca="false">SUM(E40:H40)</f>
        <v>1832169.66979413</v>
      </c>
      <c r="I42" s="41" t="n">
        <f aca="false">SUM(E40:I40)</f>
        <v>2150943.04838597</v>
      </c>
      <c r="J42" s="41" t="n">
        <f aca="false">SUM(E40:J40)</f>
        <v>2428110.72969642</v>
      </c>
      <c r="K42" s="41" t="n">
        <f aca="false">SUM(E40:K40)</f>
        <v>2669130.42481318</v>
      </c>
      <c r="L42" s="41" t="n">
        <f aca="false">SUM(E40:L40)</f>
        <v>2878740.01431596</v>
      </c>
      <c r="M42" s="41" t="n">
        <f aca="false">SUM(E40:M40)</f>
        <v>3061053.04444283</v>
      </c>
      <c r="N42" s="41" t="n">
        <f aca="false">SUM(E40:N40)</f>
        <v>3219641.47513637</v>
      </c>
      <c r="O42" s="41" t="n">
        <f aca="false">SUM(E40:O40)</f>
        <v>3357607.39301516</v>
      </c>
      <c r="P42" s="41" t="n">
        <f aca="false">SUM(E40:P40)</f>
        <v>3477645.17052535</v>
      </c>
      <c r="Q42" s="41" t="n">
        <f aca="false">SUM(E40:Q40)</f>
        <v>3582095.35232599</v>
      </c>
      <c r="R42" s="41" t="n">
        <f aca="false">SUM(E40:R40)</f>
        <v>3672991.37701363</v>
      </c>
      <c r="S42" s="41" t="n">
        <f aca="false">SUM(E40:S40)</f>
        <v>3752100.09285881</v>
      </c>
      <c r="T42" s="41" t="n">
        <f aca="false">SUM(E40:T40)</f>
        <v>3820956.89708849</v>
      </c>
      <c r="U42" s="41" t="n">
        <f aca="false">SUM(E40:U40)</f>
        <v>3880896.21662844</v>
      </c>
      <c r="V42" s="41" t="n">
        <f aca="false">SUM(E40:V40)</f>
        <v>3933077.95172307</v>
      </c>
      <c r="W42" s="41" t="n">
        <f aca="false">SUM(E40:W40)</f>
        <v>3978510.4204147</v>
      </c>
      <c r="X42" s="41" t="n">
        <f aca="false">SUM(E40:X40)</f>
        <v>4018070.26970808</v>
      </c>
      <c r="Y42" s="41" t="n">
        <f aca="false">SUM(E40:Y40)</f>
        <v>4052519.75683359</v>
      </c>
      <c r="Z42" s="41" t="n">
        <f aca="false">SUM(E40:Z40)</f>
        <v>4082521.75002949</v>
      </c>
      <c r="AA42" s="41" t="n">
        <f aca="false">SUM(E40:AA40)</f>
        <v>4108652.75154494</v>
      </c>
      <c r="AB42" s="41" t="n">
        <f aca="false">SUM(E40:AB40)</f>
        <v>4131414.20513537</v>
      </c>
    </row>
    <row r="45" customFormat="false" ht="15" hidden="false" customHeight="false" outlineLevel="0" collapsed="false">
      <c r="A45" s="38" t="s">
        <v>207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</row>
    <row r="46" customFormat="false" ht="15" hidden="false" customHeight="false" outlineLevel="0" collapsed="false">
      <c r="A46" s="14" t="s">
        <v>208</v>
      </c>
      <c r="B46" s="8" t="s">
        <v>122</v>
      </c>
      <c r="C46" s="9" t="s">
        <v>195</v>
      </c>
      <c r="D46" s="27" t="n">
        <f aca="false">SUM(E46:AB46)</f>
        <v>3600000</v>
      </c>
      <c r="E46" s="40" t="n">
        <f aca="false">Scenarios!$C$32*(1-Scenarios!$C$31)^(E$4-1)</f>
        <v>437303.516806833</v>
      </c>
      <c r="F46" s="40" t="n">
        <f aca="false">Scenarios!$C$32*(1-Scenarios!$C$31)^(F$4-1)</f>
        <v>387013.612374047</v>
      </c>
      <c r="G46" s="40" t="n">
        <f aca="false">Scenarios!$C$32*(1-Scenarios!$C$31)^(G$4-1)</f>
        <v>342507.046951032</v>
      </c>
      <c r="H46" s="40" t="n">
        <f aca="false">Scenarios!$C$32*(1-Scenarios!$C$31)^(H$4-1)</f>
        <v>303118.736551663</v>
      </c>
      <c r="I46" s="40" t="n">
        <f aca="false">Scenarios!$C$32*(1-Scenarios!$C$31)^(I$4-1)</f>
        <v>268260.081848222</v>
      </c>
      <c r="J46" s="40" t="n">
        <f aca="false">Scenarios!$C$32*(1-Scenarios!$C$31)^(J$4-1)</f>
        <v>237410.172435676</v>
      </c>
      <c r="K46" s="40" t="n">
        <f aca="false">Scenarios!$C$32*(1-Scenarios!$C$31)^(K$4-1)</f>
        <v>210108.002605574</v>
      </c>
      <c r="L46" s="40" t="n">
        <f aca="false">Scenarios!$C$32*(1-Scenarios!$C$31)^(L$4-1)</f>
        <v>185945.582305933</v>
      </c>
      <c r="M46" s="40" t="n">
        <f aca="false">Scenarios!$C$32*(1-Scenarios!$C$31)^(M$4-1)</f>
        <v>164561.84034075</v>
      </c>
      <c r="N46" s="40" t="n">
        <f aca="false">Scenarios!$C$32*(1-Scenarios!$C$31)^(N$4-1)</f>
        <v>145637.228701564</v>
      </c>
      <c r="O46" s="40" t="n">
        <f aca="false">Scenarios!$C$32*(1-Scenarios!$C$31)^(O$4-1)</f>
        <v>128888.947400884</v>
      </c>
      <c r="P46" s="40" t="n">
        <f aca="false">Scenarios!$C$32*(1-Scenarios!$C$31)^(P$4-1)</f>
        <v>114066.718449783</v>
      </c>
      <c r="Q46" s="40" t="n">
        <f aca="false">Scenarios!$C$32*(1-Scenarios!$C$31)^(Q$4-1)</f>
        <v>100949.045828058</v>
      </c>
      <c r="R46" s="40" t="n">
        <f aca="false">Scenarios!$C$32*(1-Scenarios!$C$31)^(R$4-1)</f>
        <v>89339.905557831</v>
      </c>
      <c r="S46" s="40" t="n">
        <f aca="false">Scenarios!$C$32*(1-Scenarios!$C$31)^(S$4-1)</f>
        <v>79065.8164186804</v>
      </c>
      <c r="T46" s="40" t="n">
        <f aca="false">Scenarios!$C$32*(1-Scenarios!$C$31)^(T$4-1)</f>
        <v>69973.2475305322</v>
      </c>
      <c r="U46" s="40" t="n">
        <f aca="false">Scenarios!$C$32*(1-Scenarios!$C$31)^(U$4-1)</f>
        <v>61926.324064521</v>
      </c>
      <c r="V46" s="40" t="n">
        <f aca="false">Scenarios!$C$32*(1-Scenarios!$C$31)^(V$4-1)</f>
        <v>54804.7967971011</v>
      </c>
      <c r="W46" s="40" t="n">
        <f aca="false">Scenarios!$C$32*(1-Scenarios!$C$31)^(W$4-1)</f>
        <v>48502.2451654344</v>
      </c>
      <c r="X46" s="40" t="n">
        <f aca="false">Scenarios!$C$32*(1-Scenarios!$C$31)^(X$4-1)</f>
        <v>42924.4869714095</v>
      </c>
      <c r="Y46" s="40" t="n">
        <f aca="false">Scenarios!$C$32*(1-Scenarios!$C$31)^(Y$4-1)</f>
        <v>37988.1709696974</v>
      </c>
      <c r="Z46" s="40" t="n">
        <f aca="false">Scenarios!$C$32*(1-Scenarios!$C$31)^(Z$4-1)</f>
        <v>33619.5313081822</v>
      </c>
      <c r="AA46" s="40" t="n">
        <f aca="false">Scenarios!$C$32*(1-Scenarios!$C$31)^(AA$4-1)</f>
        <v>29753.2852077412</v>
      </c>
      <c r="AB46" s="40" t="n">
        <f aca="false">Scenarios!$C$32*(1-Scenarios!$C$31)^(AB$4-1)</f>
        <v>26331.657408851</v>
      </c>
    </row>
    <row r="47" customFormat="false" ht="15" hidden="false" customHeight="false" outlineLevel="0" collapsed="false">
      <c r="A47" s="14"/>
      <c r="B47" s="9"/>
      <c r="C47" s="9" t="s">
        <v>196</v>
      </c>
      <c r="D47" s="36" t="n">
        <f aca="false">SUM(E47:AB47)</f>
        <v>1</v>
      </c>
      <c r="E47" s="21" t="n">
        <f aca="false">E46/$D$46</f>
        <v>0.121473199113009</v>
      </c>
      <c r="F47" s="21" t="n">
        <f aca="false">F46/$D$46</f>
        <v>0.107503781215013</v>
      </c>
      <c r="G47" s="21" t="n">
        <f aca="false">G46/$D$46</f>
        <v>0.0951408463752866</v>
      </c>
      <c r="H47" s="21" t="n">
        <f aca="false">H46/$D$46</f>
        <v>0.0841996490421287</v>
      </c>
      <c r="I47" s="21" t="n">
        <f aca="false">I46/$D$46</f>
        <v>0.0745166894022839</v>
      </c>
      <c r="J47" s="21" t="n">
        <f aca="false">J46/$D$46</f>
        <v>0.0659472701210212</v>
      </c>
      <c r="K47" s="21" t="n">
        <f aca="false">K46/$D$46</f>
        <v>0.0583633340571038</v>
      </c>
      <c r="L47" s="21" t="n">
        <f aca="false">L46/$D$46</f>
        <v>0.0516515506405368</v>
      </c>
      <c r="M47" s="21" t="n">
        <f aca="false">M46/$D$46</f>
        <v>0.0457116223168751</v>
      </c>
      <c r="N47" s="21" t="n">
        <f aca="false">N46/$D$46</f>
        <v>0.0404547857504345</v>
      </c>
      <c r="O47" s="21" t="n">
        <f aca="false">O46/$D$46</f>
        <v>0.0358024853891345</v>
      </c>
      <c r="P47" s="21" t="n">
        <f aca="false">P46/$D$46</f>
        <v>0.031685199569384</v>
      </c>
      <c r="Q47" s="21" t="n">
        <f aca="false">Q46/$D$46</f>
        <v>0.0280414016189049</v>
      </c>
      <c r="R47" s="21" t="n">
        <f aca="false">R46/$D$46</f>
        <v>0.0248166404327308</v>
      </c>
      <c r="S47" s="21" t="n">
        <f aca="false">S46/$D$46</f>
        <v>0.0219627267829668</v>
      </c>
      <c r="T47" s="21" t="n">
        <f aca="false">T46/$D$46</f>
        <v>0.0194370132029256</v>
      </c>
      <c r="U47" s="21" t="n">
        <f aca="false">U46/$D$46</f>
        <v>0.0172017566845892</v>
      </c>
      <c r="V47" s="21" t="n">
        <f aca="false">V46/$D$46</f>
        <v>0.0152235546658614</v>
      </c>
      <c r="W47" s="21" t="n">
        <f aca="false">W46/$D$46</f>
        <v>0.0134728458792873</v>
      </c>
      <c r="X47" s="21" t="n">
        <f aca="false">X46/$D$46</f>
        <v>0.0119234686031693</v>
      </c>
      <c r="Y47" s="21" t="n">
        <f aca="false">Y46/$D$46</f>
        <v>0.0105522697138048</v>
      </c>
      <c r="Z47" s="21" t="n">
        <f aca="false">Z46/$D$46</f>
        <v>0.00933875869671727</v>
      </c>
      <c r="AA47" s="21" t="n">
        <f aca="false">AA46/$D$46</f>
        <v>0.00826480144659478</v>
      </c>
      <c r="AB47" s="21" t="n">
        <f aca="false">AB46/$D$46</f>
        <v>0.00731434928023638</v>
      </c>
    </row>
    <row r="48" customFormat="false" ht="15" hidden="false" customHeight="false" outlineLevel="0" collapsed="false">
      <c r="A48" s="14"/>
      <c r="B48" s="9"/>
      <c r="C48" s="9" t="s">
        <v>197</v>
      </c>
      <c r="D48" s="27" t="n">
        <f aca="false">SUM(E48:AB48)</f>
        <v>5890560</v>
      </c>
      <c r="E48" s="40" t="n">
        <f aca="false">E46*'Title Inputs'!$C$16*'Title Inputs'!$C$11*Scenarios!$C$33/60</f>
        <v>715545.167767128</v>
      </c>
      <c r="F48" s="40" t="n">
        <f aca="false">F46*'Title Inputs'!$C$16*'Title Inputs'!$C$11*Scenarios!$C$33/60</f>
        <v>633257.473473908</v>
      </c>
      <c r="G48" s="40" t="n">
        <f aca="false">G46*'Title Inputs'!$C$16*'Title Inputs'!$C$11*Scenarios!$C$33/60</f>
        <v>560432.864024409</v>
      </c>
      <c r="H48" s="40" t="n">
        <f aca="false">H46*'Title Inputs'!$C$16*'Title Inputs'!$C$11*Scenarios!$C$33/60</f>
        <v>495983.084661602</v>
      </c>
      <c r="I48" s="40" t="n">
        <f aca="false">I46*'Title Inputs'!$C$16*'Title Inputs'!$C$11*Scenarios!$C$33/60</f>
        <v>438945.029925517</v>
      </c>
      <c r="J48" s="40" t="n">
        <f aca="false">J46*'Title Inputs'!$C$16*'Title Inputs'!$C$11*Scenarios!$C$33/60</f>
        <v>388466.351484083</v>
      </c>
      <c r="K48" s="40" t="n">
        <f aca="false">K46*'Title Inputs'!$C$16*'Title Inputs'!$C$11*Scenarios!$C$33/60</f>
        <v>343792.721063413</v>
      </c>
      <c r="L48" s="40" t="n">
        <f aca="false">L46*'Title Inputs'!$C$16*'Title Inputs'!$C$11*Scenarios!$C$33/60</f>
        <v>304256.558141121</v>
      </c>
      <c r="M48" s="40" t="n">
        <f aca="false">M46*'Title Inputs'!$C$16*'Title Inputs'!$C$11*Scenarios!$C$33/60</f>
        <v>269267.053954892</v>
      </c>
      <c r="N48" s="40" t="n">
        <f aca="false">N46*'Title Inputs'!$C$16*'Title Inputs'!$C$11*Scenarios!$C$33/60</f>
        <v>238301.342750079</v>
      </c>
      <c r="O48" s="40" t="n">
        <f aca="false">O46*'Title Inputs'!$C$16*'Title Inputs'!$C$11*Scenarios!$C$33/60</f>
        <v>210896.68833382</v>
      </c>
      <c r="P48" s="40" t="n">
        <f aca="false">P46*'Title Inputs'!$C$16*'Title Inputs'!$C$11*Scenarios!$C$33/60</f>
        <v>186643.569175431</v>
      </c>
      <c r="Q48" s="40" t="n">
        <f aca="false">Q46*'Title Inputs'!$C$16*'Title Inputs'!$C$11*Scenarios!$C$33/60</f>
        <v>165179.558720256</v>
      </c>
      <c r="R48" s="40" t="n">
        <f aca="false">R46*'Title Inputs'!$C$16*'Title Inputs'!$C$11*Scenarios!$C$33/60</f>
        <v>146183.909467427</v>
      </c>
      <c r="S48" s="40" t="n">
        <f aca="false">S46*'Title Inputs'!$C$16*'Title Inputs'!$C$11*Scenarios!$C$33/60</f>
        <v>129372.759878673</v>
      </c>
      <c r="T48" s="40" t="n">
        <f aca="false">T46*'Title Inputs'!$C$16*'Title Inputs'!$C$11*Scenarios!$C$33/60</f>
        <v>114494.892492625</v>
      </c>
      <c r="U48" s="40" t="n">
        <f aca="false">U46*'Title Inputs'!$C$16*'Title Inputs'!$C$11*Scenarios!$C$33/60</f>
        <v>101327.979855974</v>
      </c>
      <c r="V48" s="40" t="n">
        <f aca="false">V46*'Title Inputs'!$C$16*'Title Inputs'!$C$11*Scenarios!$C$33/60</f>
        <v>89675.2621725366</v>
      </c>
      <c r="W48" s="40" t="n">
        <f aca="false">W46*'Title Inputs'!$C$16*'Title Inputs'!$C$11*Scenarios!$C$33/60</f>
        <v>79362.6070226948</v>
      </c>
      <c r="X48" s="40" t="n">
        <f aca="false">X46*'Title Inputs'!$C$16*'Title Inputs'!$C$11*Scenarios!$C$33/60</f>
        <v>70235.9072150849</v>
      </c>
      <c r="Y48" s="40" t="n">
        <f aca="false">Y46*'Title Inputs'!$C$16*'Title Inputs'!$C$11*Scenarios!$C$33/60</f>
        <v>62158.7778853502</v>
      </c>
      <c r="Z48" s="40" t="n">
        <f aca="false">Z46*'Title Inputs'!$C$16*'Title Inputs'!$C$11*Scenarios!$C$33/60</f>
        <v>55010.5184285349</v>
      </c>
      <c r="AA48" s="40" t="n">
        <f aca="false">AA46*'Title Inputs'!$C$16*'Title Inputs'!$C$11*Scenarios!$C$33/60</f>
        <v>48684.3088092534</v>
      </c>
      <c r="AB48" s="40" t="n">
        <f aca="false">AB46*'Title Inputs'!$C$16*'Title Inputs'!$C$11*Scenarios!$C$33/60</f>
        <v>43085.6132961893</v>
      </c>
    </row>
    <row r="49" customFormat="false" ht="15" hidden="false" customHeight="false" outlineLevel="0" collapsed="false">
      <c r="A49" s="14"/>
      <c r="B49" s="9"/>
      <c r="C49" s="9" t="s">
        <v>198</v>
      </c>
      <c r="D49" s="27" t="n">
        <f aca="false">SUM(E49:AB49)</f>
        <v>77284147.2</v>
      </c>
      <c r="E49" s="40" t="n">
        <f aca="false">E48*'Title Inputs'!$C$24*Scenarios!$C$34</f>
        <v>9387952.60110471</v>
      </c>
      <c r="F49" s="40" t="n">
        <f aca="false">F48*'Title Inputs'!$C$24*Scenarios!$C$34</f>
        <v>8308338.05197767</v>
      </c>
      <c r="G49" s="40" t="n">
        <f aca="false">G48*'Title Inputs'!$C$24*Scenarios!$C$34</f>
        <v>7352879.17600024</v>
      </c>
      <c r="H49" s="40" t="n">
        <f aca="false">H48*'Title Inputs'!$C$24*Scenarios!$C$34</f>
        <v>6507298.07076021</v>
      </c>
      <c r="I49" s="40" t="n">
        <f aca="false">I48*'Title Inputs'!$C$24*Scenarios!$C$34</f>
        <v>5758958.79262279</v>
      </c>
      <c r="J49" s="40" t="n">
        <f aca="false">J48*'Title Inputs'!$C$24*Scenarios!$C$34</f>
        <v>5096678.53147117</v>
      </c>
      <c r="K49" s="40" t="n">
        <f aca="false">K48*'Title Inputs'!$C$24*Scenarios!$C$34</f>
        <v>4510560.50035198</v>
      </c>
      <c r="L49" s="40" t="n">
        <f aca="false">L48*'Title Inputs'!$C$24*Scenarios!$C$34</f>
        <v>3991846.0428115</v>
      </c>
      <c r="M49" s="40" t="n">
        <f aca="false">M48*'Title Inputs'!$C$24*Scenarios!$C$34</f>
        <v>3532783.74788818</v>
      </c>
      <c r="N49" s="40" t="n">
        <f aca="false">N48*'Title Inputs'!$C$24*Scenarios!$C$34</f>
        <v>3126513.61688104</v>
      </c>
      <c r="O49" s="40" t="n">
        <f aca="false">O48*'Title Inputs'!$C$24*Scenarios!$C$34</f>
        <v>2766964.55093972</v>
      </c>
      <c r="P49" s="40" t="n">
        <f aca="false">P48*'Title Inputs'!$C$24*Scenarios!$C$34</f>
        <v>2448763.62758165</v>
      </c>
      <c r="Q49" s="40" t="n">
        <f aca="false">Q48*'Title Inputs'!$C$24*Scenarios!$C$34</f>
        <v>2167155.81040976</v>
      </c>
      <c r="R49" s="40" t="n">
        <f aca="false">R48*'Title Inputs'!$C$24*Scenarios!$C$34</f>
        <v>1917932.89221264</v>
      </c>
      <c r="S49" s="40" t="n">
        <f aca="false">S48*'Title Inputs'!$C$24*Scenarios!$C$34</f>
        <v>1697370.60960819</v>
      </c>
      <c r="T49" s="40" t="n">
        <f aca="false">T48*'Title Inputs'!$C$24*Scenarios!$C$34</f>
        <v>1502172.98950325</v>
      </c>
      <c r="U49" s="40" t="n">
        <f aca="false">U48*'Title Inputs'!$C$24*Scenarios!$C$34</f>
        <v>1329423.09571037</v>
      </c>
      <c r="V49" s="40" t="n">
        <f aca="false">V48*'Title Inputs'!$C$24*Scenarios!$C$34</f>
        <v>1176539.43970368</v>
      </c>
      <c r="W49" s="40" t="n">
        <f aca="false">W48*'Title Inputs'!$C$24*Scenarios!$C$34</f>
        <v>1041237.40413776</v>
      </c>
      <c r="X49" s="40" t="n">
        <f aca="false">X48*'Title Inputs'!$C$24*Scenarios!$C$34</f>
        <v>921495.102661914</v>
      </c>
      <c r="Y49" s="40" t="n">
        <f aca="false">Y48*'Title Inputs'!$C$24*Scenarios!$C$34</f>
        <v>815523.165855794</v>
      </c>
      <c r="Z49" s="40" t="n">
        <f aca="false">Z48*'Title Inputs'!$C$24*Scenarios!$C$34</f>
        <v>721738.001782378</v>
      </c>
      <c r="AA49" s="40" t="n">
        <f aca="false">AA48*'Title Inputs'!$C$24*Scenarios!$C$34</f>
        <v>638738.131577404</v>
      </c>
      <c r="AB49" s="40" t="n">
        <f aca="false">AB48*'Title Inputs'!$C$24*Scenarios!$C$34</f>
        <v>565283.246446003</v>
      </c>
    </row>
    <row r="50" customFormat="false" ht="15" hidden="false" customHeight="false" outlineLevel="0" collapsed="false">
      <c r="A50" s="14"/>
      <c r="B50" s="9"/>
      <c r="C50" s="9" t="s">
        <v>199</v>
      </c>
      <c r="D50" s="34" t="n">
        <f aca="false">SUM(E50:AB50)</f>
        <v>1970745.7536</v>
      </c>
      <c r="E50" s="41" t="n">
        <f aca="false">E49/1000*Scenarios!$C$35</f>
        <v>239392.79132817</v>
      </c>
      <c r="F50" s="41" t="n">
        <f aca="false">F49/1000*Scenarios!$C$35</f>
        <v>211862.620325431</v>
      </c>
      <c r="G50" s="41" t="n">
        <f aca="false">G49/1000*Scenarios!$C$35</f>
        <v>187498.418988006</v>
      </c>
      <c r="H50" s="41" t="n">
        <f aca="false">H49/1000*Scenarios!$C$35</f>
        <v>165936.100804385</v>
      </c>
      <c r="I50" s="41" t="n">
        <f aca="false">I49/1000*Scenarios!$C$35</f>
        <v>146853.449211881</v>
      </c>
      <c r="J50" s="41" t="n">
        <f aca="false">J49/1000*Scenarios!$C$35</f>
        <v>129965.302552515</v>
      </c>
      <c r="K50" s="41" t="n">
        <f aca="false">K49/1000*Scenarios!$C$35</f>
        <v>115019.292758976</v>
      </c>
      <c r="L50" s="41" t="n">
        <f aca="false">L49/1000*Scenarios!$C$35</f>
        <v>101792.074091693</v>
      </c>
      <c r="M50" s="41" t="n">
        <f aca="false">M49/1000*Scenarios!$C$35</f>
        <v>90085.9855711487</v>
      </c>
      <c r="N50" s="41" t="n">
        <f aca="false">N49/1000*Scenarios!$C$35</f>
        <v>79726.0972304665</v>
      </c>
      <c r="O50" s="41" t="n">
        <f aca="false">O49/1000*Scenarios!$C$35</f>
        <v>70557.5960489629</v>
      </c>
      <c r="P50" s="41" t="n">
        <f aca="false">P49/1000*Scenarios!$C$35</f>
        <v>62443.4725033322</v>
      </c>
      <c r="Q50" s="41" t="n">
        <f aca="false">Q49/1000*Scenarios!$C$35</f>
        <v>55262.473165449</v>
      </c>
      <c r="R50" s="41" t="n">
        <f aca="false">R49/1000*Scenarios!$C$35</f>
        <v>48907.2887514223</v>
      </c>
      <c r="S50" s="41" t="n">
        <f aca="false">S49/1000*Scenarios!$C$35</f>
        <v>43282.9505450088</v>
      </c>
      <c r="T50" s="41" t="n">
        <f aca="false">T49/1000*Scenarios!$C$35</f>
        <v>38305.4112323328</v>
      </c>
      <c r="U50" s="41" t="n">
        <f aca="false">U49/1000*Scenarios!$C$35</f>
        <v>33900.2889406145</v>
      </c>
      <c r="V50" s="41" t="n">
        <f aca="false">V49/1000*Scenarios!$C$35</f>
        <v>30001.7557124438</v>
      </c>
      <c r="W50" s="41" t="n">
        <f aca="false">W49/1000*Scenarios!$C$35</f>
        <v>26551.5538055128</v>
      </c>
      <c r="X50" s="41" t="n">
        <f aca="false">X49/1000*Scenarios!$C$35</f>
        <v>23498.1251178788</v>
      </c>
      <c r="Y50" s="41" t="n">
        <f aca="false">Y49/1000*Scenarios!$C$35</f>
        <v>20795.8407293228</v>
      </c>
      <c r="Z50" s="41" t="n">
        <f aca="false">Z49/1000*Scenarios!$C$35</f>
        <v>18404.3190454506</v>
      </c>
      <c r="AA50" s="41" t="n">
        <f aca="false">AA49/1000*Scenarios!$C$35</f>
        <v>16287.8223552238</v>
      </c>
      <c r="AB50" s="41" t="n">
        <f aca="false">AB49/1000*Scenarios!$C$35</f>
        <v>14414.7227843731</v>
      </c>
    </row>
    <row r="52" customFormat="false" ht="15" hidden="false" customHeight="false" outlineLevel="0" collapsed="false">
      <c r="A52" s="14" t="s">
        <v>208</v>
      </c>
      <c r="B52" s="8" t="s">
        <v>123</v>
      </c>
      <c r="C52" s="9" t="s">
        <v>195</v>
      </c>
      <c r="D52" s="27" t="n">
        <f aca="false">SUM(E52:AB52)</f>
        <v>3050000</v>
      </c>
      <c r="E52" s="40" t="n">
        <f aca="false">Scenarios!$D$32*(1-Scenarios!$D$31)^(E$4-1)</f>
        <v>383854.632595791</v>
      </c>
      <c r="F52" s="40" t="n">
        <f aca="false">Scenarios!$D$32*(1-Scenarios!$D$31)^(F$4-1)</f>
        <v>337792.076684296</v>
      </c>
      <c r="G52" s="40" t="n">
        <f aca="false">Scenarios!$D$32*(1-Scenarios!$D$31)^(G$4-1)</f>
        <v>297257.027482181</v>
      </c>
      <c r="H52" s="40" t="n">
        <f aca="false">Scenarios!$D$32*(1-Scenarios!$D$31)^(H$4-1)</f>
        <v>261586.184184319</v>
      </c>
      <c r="I52" s="40" t="n">
        <f aca="false">Scenarios!$D$32*(1-Scenarios!$D$31)^(I$4-1)</f>
        <v>230195.842082201</v>
      </c>
      <c r="J52" s="40" t="n">
        <f aca="false">Scenarios!$D$32*(1-Scenarios!$D$31)^(J$4-1)</f>
        <v>202572.341032337</v>
      </c>
      <c r="K52" s="40" t="n">
        <f aca="false">Scenarios!$D$32*(1-Scenarios!$D$31)^(K$4-1)</f>
        <v>178263.660108456</v>
      </c>
      <c r="L52" s="40" t="n">
        <f aca="false">Scenarios!$D$32*(1-Scenarios!$D$31)^(L$4-1)</f>
        <v>156872.020895441</v>
      </c>
      <c r="M52" s="40" t="n">
        <f aca="false">Scenarios!$D$32*(1-Scenarios!$D$31)^(M$4-1)</f>
        <v>138047.378387988</v>
      </c>
      <c r="N52" s="40" t="n">
        <f aca="false">Scenarios!$D$32*(1-Scenarios!$D$31)^(N$4-1)</f>
        <v>121481.69298143</v>
      </c>
      <c r="O52" s="40" t="n">
        <f aca="false">Scenarios!$D$32*(1-Scenarios!$D$31)^(O$4-1)</f>
        <v>106903.889823658</v>
      </c>
      <c r="P52" s="40" t="n">
        <f aca="false">Scenarios!$D$32*(1-Scenarios!$D$31)^(P$4-1)</f>
        <v>94075.4230448193</v>
      </c>
      <c r="Q52" s="40" t="n">
        <f aca="false">Scenarios!$D$32*(1-Scenarios!$D$31)^(Q$4-1)</f>
        <v>82786.3722794409</v>
      </c>
      <c r="R52" s="40" t="n">
        <f aca="false">Scenarios!$D$32*(1-Scenarios!$D$31)^(R$4-1)</f>
        <v>72852.007605908</v>
      </c>
      <c r="S52" s="40" t="n">
        <f aca="false">Scenarios!$D$32*(1-Scenarios!$D$31)^(S$4-1)</f>
        <v>64109.7666931991</v>
      </c>
      <c r="T52" s="40" t="n">
        <f aca="false">Scenarios!$D$32*(1-Scenarios!$D$31)^(T$4-1)</f>
        <v>56416.5946900152</v>
      </c>
      <c r="U52" s="40" t="n">
        <f aca="false">Scenarios!$D$32*(1-Scenarios!$D$31)^(U$4-1)</f>
        <v>49646.6033272134</v>
      </c>
      <c r="V52" s="40" t="n">
        <f aca="false">Scenarios!$D$32*(1-Scenarios!$D$31)^(V$4-1)</f>
        <v>43689.0109279478</v>
      </c>
      <c r="W52" s="40" t="n">
        <f aca="false">Scenarios!$D$32*(1-Scenarios!$D$31)^(W$4-1)</f>
        <v>38446.329616594</v>
      </c>
      <c r="X52" s="40" t="n">
        <f aca="false">Scenarios!$D$32*(1-Scenarios!$D$31)^(X$4-1)</f>
        <v>33832.7700626027</v>
      </c>
      <c r="Y52" s="40" t="n">
        <f aca="false">Scenarios!$D$32*(1-Scenarios!$D$31)^(Y$4-1)</f>
        <v>29772.8376550904</v>
      </c>
      <c r="Z52" s="40" t="n">
        <f aca="false">Scenarios!$D$32*(1-Scenarios!$D$31)^(Z$4-1)</f>
        <v>26200.0971364796</v>
      </c>
      <c r="AA52" s="40" t="n">
        <f aca="false">Scenarios!$D$32*(1-Scenarios!$D$31)^(AA$4-1)</f>
        <v>23056.085480102</v>
      </c>
      <c r="AB52" s="40" t="n">
        <f aca="false">Scenarios!$D$32*(1-Scenarios!$D$31)^(AB$4-1)</f>
        <v>20289.3552224898</v>
      </c>
    </row>
    <row r="53" customFormat="false" ht="15" hidden="false" customHeight="false" outlineLevel="0" collapsed="false">
      <c r="A53" s="14"/>
      <c r="B53" s="9"/>
      <c r="C53" s="9" t="s">
        <v>196</v>
      </c>
      <c r="D53" s="36" t="n">
        <f aca="false">SUM(E53:AB53)</f>
        <v>1</v>
      </c>
      <c r="E53" s="21" t="n">
        <f aca="false">E52/$D$52</f>
        <v>0.125853977900259</v>
      </c>
      <c r="F53" s="21" t="n">
        <f aca="false">F52/$D$52</f>
        <v>0.110751500552228</v>
      </c>
      <c r="G53" s="21" t="n">
        <f aca="false">G52/$D$52</f>
        <v>0.0974613204859608</v>
      </c>
      <c r="H53" s="21" t="n">
        <f aca="false">H52/$D$52</f>
        <v>0.0857659620276455</v>
      </c>
      <c r="I53" s="21" t="n">
        <f aca="false">I52/$D$52</f>
        <v>0.0754740465843281</v>
      </c>
      <c r="J53" s="21" t="n">
        <f aca="false">J52/$D$52</f>
        <v>0.0664171609942087</v>
      </c>
      <c r="K53" s="21" t="n">
        <f aca="false">K52/$D$52</f>
        <v>0.0584471016749037</v>
      </c>
      <c r="L53" s="21" t="n">
        <f aca="false">L52/$D$52</f>
        <v>0.0514334494739152</v>
      </c>
      <c r="M53" s="21" t="n">
        <f aca="false">M52/$D$52</f>
        <v>0.0452614355370454</v>
      </c>
      <c r="N53" s="21" t="n">
        <f aca="false">N52/$D$52</f>
        <v>0.0398300632726</v>
      </c>
      <c r="O53" s="21" t="n">
        <f aca="false">O52/$D$52</f>
        <v>0.035050455679888</v>
      </c>
      <c r="P53" s="21" t="n">
        <f aca="false">P52/$D$52</f>
        <v>0.0308444009983014</v>
      </c>
      <c r="Q53" s="21" t="n">
        <f aca="false">Q52/$D$52</f>
        <v>0.0271430728785052</v>
      </c>
      <c r="R53" s="21" t="n">
        <f aca="false">R52/$D$52</f>
        <v>0.0238859041330846</v>
      </c>
      <c r="S53" s="21" t="n">
        <f aca="false">S52/$D$52</f>
        <v>0.0210195956371145</v>
      </c>
      <c r="T53" s="21" t="n">
        <f aca="false">T52/$D$52</f>
        <v>0.0184972441606607</v>
      </c>
      <c r="U53" s="21" t="n">
        <f aca="false">U52/$D$52</f>
        <v>0.0162775748613814</v>
      </c>
      <c r="V53" s="21" t="n">
        <f aca="false">V52/$D$52</f>
        <v>0.0143242658780157</v>
      </c>
      <c r="W53" s="21" t="n">
        <f aca="false">W52/$D$52</f>
        <v>0.0126053539726538</v>
      </c>
      <c r="X53" s="21" t="n">
        <f aca="false">X52/$D$52</f>
        <v>0.0110927114959353</v>
      </c>
      <c r="Y53" s="21" t="n">
        <f aca="false">Y52/$D$52</f>
        <v>0.00976158611642309</v>
      </c>
      <c r="Z53" s="21" t="n">
        <f aca="false">Z52/$D$52</f>
        <v>0.00859019578245232</v>
      </c>
      <c r="AA53" s="21" t="n">
        <f aca="false">AA52/$D$52</f>
        <v>0.00755937228855804</v>
      </c>
      <c r="AB53" s="21" t="n">
        <f aca="false">AB52/$D$52</f>
        <v>0.00665224761393108</v>
      </c>
    </row>
    <row r="54" customFormat="false" ht="15" hidden="false" customHeight="false" outlineLevel="0" collapsed="false">
      <c r="A54" s="14"/>
      <c r="B54" s="9"/>
      <c r="C54" s="9" t="s">
        <v>197</v>
      </c>
      <c r="D54" s="27" t="n">
        <f aca="false">SUM(E54:AB54)</f>
        <v>4306437.33333333</v>
      </c>
      <c r="E54" s="40" t="n">
        <f aca="false">E52*'Title Inputs'!$D$16*'Title Inputs'!$D$11*Scenarios!$D$33/60</f>
        <v>541982.268978185</v>
      </c>
      <c r="F54" s="40" t="n">
        <f aca="false">F52*'Title Inputs'!$D$16*'Title Inputs'!$D$11*Scenarios!$D$33/60</f>
        <v>476944.396700803</v>
      </c>
      <c r="G54" s="40" t="n">
        <f aca="false">G52*'Title Inputs'!$D$16*'Title Inputs'!$D$11*Scenarios!$D$33/60</f>
        <v>419711.069096707</v>
      </c>
      <c r="H54" s="40" t="n">
        <f aca="false">H52*'Title Inputs'!$D$16*'Title Inputs'!$D$11*Scenarios!$D$33/60</f>
        <v>369345.740805102</v>
      </c>
      <c r="I54" s="40" t="n">
        <f aca="false">I52*'Title Inputs'!$D$16*'Title Inputs'!$D$11*Scenarios!$D$33/60</f>
        <v>325024.25190849</v>
      </c>
      <c r="J54" s="40" t="n">
        <f aca="false">J52*'Title Inputs'!$D$16*'Title Inputs'!$D$11*Scenarios!$D$33/60</f>
        <v>286021.341679471</v>
      </c>
      <c r="K54" s="40" t="n">
        <f aca="false">K52*'Title Inputs'!$D$16*'Title Inputs'!$D$11*Scenarios!$D$33/60</f>
        <v>251698.780677934</v>
      </c>
      <c r="L54" s="40" t="n">
        <f aca="false">L52*'Title Inputs'!$D$16*'Title Inputs'!$D$11*Scenarios!$D$33/60</f>
        <v>221494.926996582</v>
      </c>
      <c r="M54" s="40" t="n">
        <f aca="false">M52*'Title Inputs'!$D$16*'Title Inputs'!$D$11*Scenarios!$D$33/60</f>
        <v>194915.535756992</v>
      </c>
      <c r="N54" s="40" t="n">
        <f aca="false">N52*'Title Inputs'!$D$16*'Title Inputs'!$D$11*Scenarios!$D$33/60</f>
        <v>171525.671466153</v>
      </c>
      <c r="O54" s="40" t="n">
        <f aca="false">O52*'Title Inputs'!$D$16*'Title Inputs'!$D$11*Scenarios!$D$33/60</f>
        <v>150942.590890215</v>
      </c>
      <c r="P54" s="40" t="n">
        <f aca="false">P52*'Title Inputs'!$D$16*'Title Inputs'!$D$11*Scenarios!$D$33/60</f>
        <v>132829.479983389</v>
      </c>
      <c r="Q54" s="40" t="n">
        <f aca="false">Q52*'Title Inputs'!$D$16*'Title Inputs'!$D$11*Scenarios!$D$33/60</f>
        <v>116889.942385382</v>
      </c>
      <c r="R54" s="40" t="n">
        <f aca="false">R52*'Title Inputs'!$D$16*'Title Inputs'!$D$11*Scenarios!$D$33/60</f>
        <v>102863.149299137</v>
      </c>
      <c r="S54" s="40" t="n">
        <f aca="false">S52*'Title Inputs'!$D$16*'Title Inputs'!$D$11*Scenarios!$D$33/60</f>
        <v>90519.5713832401</v>
      </c>
      <c r="T54" s="40" t="n">
        <f aca="false">T52*'Title Inputs'!$D$16*'Title Inputs'!$D$11*Scenarios!$D$33/60</f>
        <v>79657.2228172513</v>
      </c>
      <c r="U54" s="40" t="n">
        <f aca="false">U52*'Title Inputs'!$D$16*'Title Inputs'!$D$11*Scenarios!$D$33/60</f>
        <v>70098.3560791812</v>
      </c>
      <c r="V54" s="40" t="n">
        <f aca="false">V52*'Title Inputs'!$D$16*'Title Inputs'!$D$11*Scenarios!$D$33/60</f>
        <v>61686.5533496794</v>
      </c>
      <c r="W54" s="40" t="n">
        <f aca="false">W52*'Title Inputs'!$D$16*'Title Inputs'!$D$11*Scenarios!$D$33/60</f>
        <v>54284.1669477179</v>
      </c>
      <c r="X54" s="40" t="n">
        <f aca="false">X52*'Title Inputs'!$D$16*'Title Inputs'!$D$11*Scenarios!$D$33/60</f>
        <v>47770.0669139917</v>
      </c>
      <c r="Y54" s="40" t="n">
        <f aca="false">Y52*'Title Inputs'!$D$16*'Title Inputs'!$D$11*Scenarios!$D$33/60</f>
        <v>42037.6588843127</v>
      </c>
      <c r="Z54" s="40" t="n">
        <f aca="false">Z52*'Title Inputs'!$D$16*'Title Inputs'!$D$11*Scenarios!$D$33/60</f>
        <v>36993.1398181952</v>
      </c>
      <c r="AA54" s="40" t="n">
        <f aca="false">AA52*'Title Inputs'!$D$16*'Title Inputs'!$D$11*Scenarios!$D$33/60</f>
        <v>32553.9630400118</v>
      </c>
      <c r="AB54" s="40" t="n">
        <f aca="false">AB52*'Title Inputs'!$D$16*'Title Inputs'!$D$11*Scenarios!$D$33/60</f>
        <v>28647.4874752104</v>
      </c>
    </row>
    <row r="55" customFormat="false" ht="15" hidden="false" customHeight="false" outlineLevel="0" collapsed="false">
      <c r="A55" s="14"/>
      <c r="B55" s="9"/>
      <c r="C55" s="9" t="s">
        <v>198</v>
      </c>
      <c r="D55" s="27" t="n">
        <f aca="false">SUM(E55:AB55)</f>
        <v>55811427.84</v>
      </c>
      <c r="E55" s="40" t="n">
        <f aca="false">E54*'Title Inputs'!$D$24*Scenarios!$D$34</f>
        <v>7024090.20595728</v>
      </c>
      <c r="F55" s="40" t="n">
        <f aca="false">F54*'Title Inputs'!$D$24*Scenarios!$D$34</f>
        <v>6181199.38124241</v>
      </c>
      <c r="G55" s="40" t="n">
        <f aca="false">G54*'Title Inputs'!$D$24*Scenarios!$D$34</f>
        <v>5439455.45549332</v>
      </c>
      <c r="H55" s="40" t="n">
        <f aca="false">H54*'Title Inputs'!$D$24*Scenarios!$D$34</f>
        <v>4786720.80083412</v>
      </c>
      <c r="I55" s="40" t="n">
        <f aca="false">I54*'Title Inputs'!$D$24*Scenarios!$D$34</f>
        <v>4212314.30473402</v>
      </c>
      <c r="J55" s="40" t="n">
        <f aca="false">J54*'Title Inputs'!$D$24*Scenarios!$D$34</f>
        <v>3706836.58816594</v>
      </c>
      <c r="K55" s="40" t="n">
        <f aca="false">K54*'Title Inputs'!$D$24*Scenarios!$D$34</f>
        <v>3262016.19758603</v>
      </c>
      <c r="L55" s="40" t="n">
        <f aca="false">L54*'Title Inputs'!$D$24*Scenarios!$D$34</f>
        <v>2870574.25387571</v>
      </c>
      <c r="M55" s="40" t="n">
        <f aca="false">M54*'Title Inputs'!$D$24*Scenarios!$D$34</f>
        <v>2526105.34341062</v>
      </c>
      <c r="N55" s="40" t="n">
        <f aca="false">N54*'Title Inputs'!$D$24*Scenarios!$D$34</f>
        <v>2222972.70220135</v>
      </c>
      <c r="O55" s="40" t="n">
        <f aca="false">O54*'Title Inputs'!$D$24*Scenarios!$D$34</f>
        <v>1956215.97793718</v>
      </c>
      <c r="P55" s="40" t="n">
        <f aca="false">P54*'Title Inputs'!$D$24*Scenarios!$D$34</f>
        <v>1721470.06058472</v>
      </c>
      <c r="Q55" s="40" t="n">
        <f aca="false">Q54*'Title Inputs'!$D$24*Scenarios!$D$34</f>
        <v>1514893.65331456</v>
      </c>
      <c r="R55" s="40" t="n">
        <f aca="false">R54*'Title Inputs'!$D$24*Scenarios!$D$34</f>
        <v>1333106.41491681</v>
      </c>
      <c r="S55" s="40" t="n">
        <f aca="false">S54*'Title Inputs'!$D$24*Scenarios!$D$34</f>
        <v>1173133.64512679</v>
      </c>
      <c r="T55" s="40" t="n">
        <f aca="false">T54*'Title Inputs'!$D$24*Scenarios!$D$34</f>
        <v>1032357.60771158</v>
      </c>
      <c r="U55" s="40" t="n">
        <f aca="false">U54*'Title Inputs'!$D$24*Scenarios!$D$34</f>
        <v>908474.694786188</v>
      </c>
      <c r="V55" s="40" t="n">
        <f aca="false">V54*'Title Inputs'!$D$24*Scenarios!$D$34</f>
        <v>799457.731411845</v>
      </c>
      <c r="W55" s="40" t="n">
        <f aca="false">W54*'Title Inputs'!$D$24*Scenarios!$D$34</f>
        <v>703522.803642424</v>
      </c>
      <c r="X55" s="40" t="n">
        <f aca="false">X54*'Title Inputs'!$D$24*Scenarios!$D$34</f>
        <v>619100.067205333</v>
      </c>
      <c r="Y55" s="40" t="n">
        <f aca="false">Y54*'Title Inputs'!$D$24*Scenarios!$D$34</f>
        <v>544808.059140693</v>
      </c>
      <c r="Z55" s="40" t="n">
        <f aca="false">Z54*'Title Inputs'!$D$24*Scenarios!$D$34</f>
        <v>479431.09204381</v>
      </c>
      <c r="AA55" s="40" t="n">
        <f aca="false">AA54*'Title Inputs'!$D$24*Scenarios!$D$34</f>
        <v>421899.360998553</v>
      </c>
      <c r="AB55" s="40" t="n">
        <f aca="false">AB54*'Title Inputs'!$D$24*Scenarios!$D$34</f>
        <v>371271.437678726</v>
      </c>
    </row>
    <row r="56" customFormat="false" ht="15" hidden="false" customHeight="false" outlineLevel="0" collapsed="false">
      <c r="A56" s="14"/>
      <c r="B56" s="9"/>
      <c r="C56" s="9" t="s">
        <v>199</v>
      </c>
      <c r="D56" s="34" t="n">
        <f aca="false">SUM(E56:AB56)</f>
        <v>1339474.26816</v>
      </c>
      <c r="E56" s="41" t="n">
        <f aca="false">E55/1000*Scenarios!$D$35</f>
        <v>168578.164942975</v>
      </c>
      <c r="F56" s="41" t="n">
        <f aca="false">F55/1000*Scenarios!$D$35</f>
        <v>148348.785149818</v>
      </c>
      <c r="G56" s="41" t="n">
        <f aca="false">G55/1000*Scenarios!$D$35</f>
        <v>130546.93093184</v>
      </c>
      <c r="H56" s="41" t="n">
        <f aca="false">H55/1000*Scenarios!$D$35</f>
        <v>114881.299220019</v>
      </c>
      <c r="I56" s="41" t="n">
        <f aca="false">I55/1000*Scenarios!$D$35</f>
        <v>101095.543313617</v>
      </c>
      <c r="J56" s="41" t="n">
        <f aca="false">J55/1000*Scenarios!$D$35</f>
        <v>88964.0781159826</v>
      </c>
      <c r="K56" s="41" t="n">
        <f aca="false">K55/1000*Scenarios!$D$35</f>
        <v>78288.3887420647</v>
      </c>
      <c r="L56" s="41" t="n">
        <f aca="false">L55/1000*Scenarios!$D$35</f>
        <v>68893.7820930169</v>
      </c>
      <c r="M56" s="41" t="n">
        <f aca="false">M55/1000*Scenarios!$D$35</f>
        <v>60626.5282418549</v>
      </c>
      <c r="N56" s="41" t="n">
        <f aca="false">N55/1000*Scenarios!$D$35</f>
        <v>53351.3448528323</v>
      </c>
      <c r="O56" s="41" t="n">
        <f aca="false">O55/1000*Scenarios!$D$35</f>
        <v>46949.1834704924</v>
      </c>
      <c r="P56" s="41" t="n">
        <f aca="false">P55/1000*Scenarios!$D$35</f>
        <v>41315.2814540333</v>
      </c>
      <c r="Q56" s="41" t="n">
        <f aca="false">Q55/1000*Scenarios!$D$35</f>
        <v>36357.4476795493</v>
      </c>
      <c r="R56" s="41" t="n">
        <f aca="false">R55/1000*Scenarios!$D$35</f>
        <v>31994.5539580034</v>
      </c>
      <c r="S56" s="41" t="n">
        <f aca="false">S55/1000*Scenarios!$D$35</f>
        <v>28155.207483043</v>
      </c>
      <c r="T56" s="41" t="n">
        <f aca="false">T55/1000*Scenarios!$D$35</f>
        <v>24776.5825850778</v>
      </c>
      <c r="U56" s="41" t="n">
        <f aca="false">U55/1000*Scenarios!$D$35</f>
        <v>21803.3926748685</v>
      </c>
      <c r="V56" s="41" t="n">
        <f aca="false">V55/1000*Scenarios!$D$35</f>
        <v>19186.9855538843</v>
      </c>
      <c r="W56" s="41" t="n">
        <f aca="false">W55/1000*Scenarios!$D$35</f>
        <v>16884.5472874182</v>
      </c>
      <c r="X56" s="41" t="n">
        <f aca="false">X55/1000*Scenarios!$D$35</f>
        <v>14858.401612928</v>
      </c>
      <c r="Y56" s="41" t="n">
        <f aca="false">Y55/1000*Scenarios!$D$35</f>
        <v>13075.3934193766</v>
      </c>
      <c r="Z56" s="41" t="n">
        <f aca="false">Z55/1000*Scenarios!$D$35</f>
        <v>11506.3462090514</v>
      </c>
      <c r="AA56" s="41" t="n">
        <f aca="false">AA55/1000*Scenarios!$D$35</f>
        <v>10125.5846639653</v>
      </c>
      <c r="AB56" s="41" t="n">
        <f aca="false">AB55/1000*Scenarios!$D$35</f>
        <v>8910.51450428943</v>
      </c>
    </row>
    <row r="58" customFormat="false" ht="15" hidden="false" customHeight="false" outlineLevel="0" collapsed="false">
      <c r="A58" s="14" t="s">
        <v>208</v>
      </c>
      <c r="B58" s="8" t="s">
        <v>124</v>
      </c>
      <c r="C58" s="9" t="s">
        <v>195</v>
      </c>
      <c r="D58" s="27" t="n">
        <f aca="false">SUM(E58:AB58)</f>
        <v>2500000</v>
      </c>
      <c r="E58" s="40" t="n">
        <f aca="false">Scenarios!$E$32*(1-Scenarios!$E$31)^(E$4-1)</f>
        <v>332418.847017029</v>
      </c>
      <c r="F58" s="40" t="n">
        <f aca="false">Scenarios!$E$32*(1-Scenarios!$E$31)^(F$4-1)</f>
        <v>289869.234598849</v>
      </c>
      <c r="G58" s="40" t="n">
        <f aca="false">Scenarios!$E$32*(1-Scenarios!$E$31)^(G$4-1)</f>
        <v>252765.972570196</v>
      </c>
      <c r="H58" s="40" t="n">
        <f aca="false">Scenarios!$E$32*(1-Scenarios!$E$31)^(H$4-1)</f>
        <v>220411.928081211</v>
      </c>
      <c r="I58" s="40" t="n">
        <f aca="false">Scenarios!$E$32*(1-Scenarios!$E$31)^(I$4-1)</f>
        <v>192199.201286816</v>
      </c>
      <c r="J58" s="40" t="n">
        <f aca="false">Scenarios!$E$32*(1-Scenarios!$E$31)^(J$4-1)</f>
        <v>167597.703522104</v>
      </c>
      <c r="K58" s="40" t="n">
        <f aca="false">Scenarios!$E$32*(1-Scenarios!$E$31)^(K$4-1)</f>
        <v>146145.197471275</v>
      </c>
      <c r="L58" s="40" t="n">
        <f aca="false">Scenarios!$E$32*(1-Scenarios!$E$31)^(L$4-1)</f>
        <v>127438.612194951</v>
      </c>
      <c r="M58" s="40" t="n">
        <f aca="false">Scenarios!$E$32*(1-Scenarios!$E$31)^(M$4-1)</f>
        <v>111126.469833998</v>
      </c>
      <c r="N58" s="40" t="n">
        <f aca="false">Scenarios!$E$32*(1-Scenarios!$E$31)^(N$4-1)</f>
        <v>96902.2816952459</v>
      </c>
      <c r="O58" s="40" t="n">
        <f aca="false">Scenarios!$E$32*(1-Scenarios!$E$31)^(O$4-1)</f>
        <v>84498.7896382544</v>
      </c>
      <c r="P58" s="40" t="n">
        <f aca="false">Scenarios!$E$32*(1-Scenarios!$E$31)^(P$4-1)</f>
        <v>73682.9445645579</v>
      </c>
      <c r="Q58" s="40" t="n">
        <f aca="false">Scenarios!$E$32*(1-Scenarios!$E$31)^(Q$4-1)</f>
        <v>64251.5276602945</v>
      </c>
      <c r="R58" s="40" t="n">
        <f aca="false">Scenarios!$E$32*(1-Scenarios!$E$31)^(R$4-1)</f>
        <v>56027.3321197768</v>
      </c>
      <c r="S58" s="40" t="n">
        <f aca="false">Scenarios!$E$32*(1-Scenarios!$E$31)^(S$4-1)</f>
        <v>48855.8336084453</v>
      </c>
      <c r="T58" s="40" t="n">
        <f aca="false">Scenarios!$E$32*(1-Scenarios!$E$31)^(T$4-1)</f>
        <v>42602.2869065643</v>
      </c>
      <c r="U58" s="40" t="n">
        <f aca="false">Scenarios!$E$32*(1-Scenarios!$E$31)^(U$4-1)</f>
        <v>37149.1941825241</v>
      </c>
      <c r="V58" s="40" t="n">
        <f aca="false">Scenarios!$E$32*(1-Scenarios!$E$31)^(V$4-1)</f>
        <v>32394.097327161</v>
      </c>
      <c r="W58" s="40" t="n">
        <f aca="false">Scenarios!$E$32*(1-Scenarios!$E$31)^(W$4-1)</f>
        <v>28247.6528692844</v>
      </c>
      <c r="X58" s="40" t="n">
        <f aca="false">Scenarios!$E$32*(1-Scenarios!$E$31)^(X$4-1)</f>
        <v>24631.953302016</v>
      </c>
      <c r="Y58" s="40" t="n">
        <f aca="false">Scenarios!$E$32*(1-Scenarios!$E$31)^(Y$4-1)</f>
        <v>21479.063279358</v>
      </c>
      <c r="Z58" s="40" t="n">
        <f aca="false">Scenarios!$E$32*(1-Scenarios!$E$31)^(Z$4-1)</f>
        <v>18729.7431796001</v>
      </c>
      <c r="AA58" s="40" t="n">
        <f aca="false">Scenarios!$E$32*(1-Scenarios!$E$31)^(AA$4-1)</f>
        <v>16332.3360526113</v>
      </c>
      <c r="AB58" s="40" t="n">
        <f aca="false">Scenarios!$E$32*(1-Scenarios!$E$31)^(AB$4-1)</f>
        <v>14241.7970378771</v>
      </c>
    </row>
    <row r="59" customFormat="false" ht="15" hidden="false" customHeight="false" outlineLevel="0" collapsed="false">
      <c r="A59" s="14"/>
      <c r="B59" s="9"/>
      <c r="C59" s="9" t="s">
        <v>196</v>
      </c>
      <c r="D59" s="36" t="n">
        <f aca="false">SUM(E59:AB59)</f>
        <v>1</v>
      </c>
      <c r="E59" s="21" t="n">
        <f aca="false">E58/$D$58</f>
        <v>0.132967538806812</v>
      </c>
      <c r="F59" s="21" t="n">
        <f aca="false">F58/$D$58</f>
        <v>0.11594769383954</v>
      </c>
      <c r="G59" s="21" t="n">
        <f aca="false">G58/$D$58</f>
        <v>0.101106389028079</v>
      </c>
      <c r="H59" s="21" t="n">
        <f aca="false">H58/$D$58</f>
        <v>0.0881647712324845</v>
      </c>
      <c r="I59" s="21" t="n">
        <f aca="false">I58/$D$58</f>
        <v>0.0768796805147265</v>
      </c>
      <c r="J59" s="21" t="n">
        <f aca="false">J58/$D$58</f>
        <v>0.0670390814088415</v>
      </c>
      <c r="K59" s="21" t="n">
        <f aca="false">K58/$D$58</f>
        <v>0.0584580789885098</v>
      </c>
      <c r="L59" s="21" t="n">
        <f aca="false">L58/$D$58</f>
        <v>0.0509754448779805</v>
      </c>
      <c r="M59" s="21" t="n">
        <f aca="false">M58/$D$58</f>
        <v>0.044450587933599</v>
      </c>
      <c r="N59" s="21" t="n">
        <f aca="false">N58/$D$58</f>
        <v>0.0387609126780984</v>
      </c>
      <c r="O59" s="21" t="n">
        <f aca="false">O58/$D$58</f>
        <v>0.0337995158553018</v>
      </c>
      <c r="P59" s="21" t="n">
        <f aca="false">P58/$D$58</f>
        <v>0.0294731778258231</v>
      </c>
      <c r="Q59" s="21" t="n">
        <f aca="false">Q58/$D$58</f>
        <v>0.0257006110641178</v>
      </c>
      <c r="R59" s="21" t="n">
        <f aca="false">R58/$D$58</f>
        <v>0.0224109328479107</v>
      </c>
      <c r="S59" s="21" t="n">
        <f aca="false">S58/$D$58</f>
        <v>0.0195423334433781</v>
      </c>
      <c r="T59" s="21" t="n">
        <f aca="false">T58/$D$58</f>
        <v>0.0170409147626257</v>
      </c>
      <c r="U59" s="21" t="n">
        <f aca="false">U58/$D$58</f>
        <v>0.0148596776730096</v>
      </c>
      <c r="V59" s="21" t="n">
        <f aca="false">V58/$D$58</f>
        <v>0.0129576389308644</v>
      </c>
      <c r="W59" s="21" t="n">
        <f aca="false">W58/$D$58</f>
        <v>0.0112990611477138</v>
      </c>
      <c r="X59" s="21" t="n">
        <f aca="false">X58/$D$58</f>
        <v>0.0098527813208064</v>
      </c>
      <c r="Y59" s="21" t="n">
        <f aca="false">Y58/$D$58</f>
        <v>0.00859162531174318</v>
      </c>
      <c r="Z59" s="21" t="n">
        <f aca="false">Z58/$D$58</f>
        <v>0.00749189727184005</v>
      </c>
      <c r="AA59" s="21" t="n">
        <f aca="false">AA58/$D$58</f>
        <v>0.00653293442104453</v>
      </c>
      <c r="AB59" s="21" t="n">
        <f aca="false">AB58/$D$58</f>
        <v>0.00569671881515083</v>
      </c>
    </row>
    <row r="60" customFormat="false" ht="15" hidden="false" customHeight="false" outlineLevel="0" collapsed="false">
      <c r="A60" s="14"/>
      <c r="B60" s="9"/>
      <c r="C60" s="9" t="s">
        <v>197</v>
      </c>
      <c r="D60" s="27" t="n">
        <f aca="false">SUM(E60:AB60)</f>
        <v>3127000</v>
      </c>
      <c r="E60" s="40" t="n">
        <f aca="false">E58*'Title Inputs'!$E$16*'Title Inputs'!$E$11*Scenarios!$E$33/60</f>
        <v>415789.4938489</v>
      </c>
      <c r="F60" s="40" t="n">
        <f aca="false">F58*'Title Inputs'!$E$16*'Title Inputs'!$E$11*Scenarios!$E$33/60</f>
        <v>362568.438636241</v>
      </c>
      <c r="G60" s="40" t="n">
        <f aca="false">G58*'Title Inputs'!$E$16*'Title Inputs'!$E$11*Scenarios!$E$33/60</f>
        <v>316159.678490802</v>
      </c>
      <c r="H60" s="40" t="n">
        <f aca="false">H58*'Title Inputs'!$E$16*'Title Inputs'!$E$11*Scenarios!$E$33/60</f>
        <v>275691.239643979</v>
      </c>
      <c r="I60" s="40" t="n">
        <f aca="false">I58*'Title Inputs'!$E$16*'Title Inputs'!$E$11*Scenarios!$E$33/60</f>
        <v>240402.76096955</v>
      </c>
      <c r="J60" s="40" t="n">
        <f aca="false">J58*'Title Inputs'!$E$16*'Title Inputs'!$E$11*Scenarios!$E$33/60</f>
        <v>209631.207565447</v>
      </c>
      <c r="K60" s="40" t="n">
        <f aca="false">K58*'Title Inputs'!$E$16*'Title Inputs'!$E$11*Scenarios!$E$33/60</f>
        <v>182798.41299707</v>
      </c>
      <c r="L60" s="40" t="n">
        <f aca="false">L58*'Title Inputs'!$E$16*'Title Inputs'!$E$11*Scenarios!$E$33/60</f>
        <v>159400.216133445</v>
      </c>
      <c r="M60" s="40" t="n">
        <f aca="false">M58*'Title Inputs'!$E$16*'Title Inputs'!$E$11*Scenarios!$E$33/60</f>
        <v>138996.988468364</v>
      </c>
      <c r="N60" s="40" t="n">
        <f aca="false">N58*'Title Inputs'!$E$16*'Title Inputs'!$E$11*Scenarios!$E$33/60</f>
        <v>121205.373944414</v>
      </c>
      <c r="O60" s="40" t="n">
        <f aca="false">O58*'Title Inputs'!$E$16*'Title Inputs'!$E$11*Scenarios!$E$33/60</f>
        <v>105691.086079529</v>
      </c>
      <c r="P60" s="40" t="n">
        <f aca="false">P58*'Title Inputs'!$E$16*'Title Inputs'!$E$11*Scenarios!$E$33/60</f>
        <v>92162.627061349</v>
      </c>
      <c r="Q60" s="40" t="n">
        <f aca="false">Q58*'Title Inputs'!$E$16*'Title Inputs'!$E$11*Scenarios!$E$33/60</f>
        <v>80365.8107974963</v>
      </c>
      <c r="R60" s="40" t="n">
        <f aca="false">R58*'Title Inputs'!$E$16*'Title Inputs'!$E$11*Scenarios!$E$33/60</f>
        <v>70078.9870154168</v>
      </c>
      <c r="S60" s="40" t="n">
        <f aca="false">S58*'Title Inputs'!$E$16*'Title Inputs'!$E$11*Scenarios!$E$33/60</f>
        <v>61108.8766774434</v>
      </c>
      <c r="T60" s="40" t="n">
        <f aca="false">T58*'Title Inputs'!$E$16*'Title Inputs'!$E$11*Scenarios!$E$33/60</f>
        <v>53286.9404627307</v>
      </c>
      <c r="U60" s="40" t="n">
        <f aca="false">U58*'Title Inputs'!$E$16*'Title Inputs'!$E$11*Scenarios!$E$33/60</f>
        <v>46466.2120835011</v>
      </c>
      <c r="V60" s="40" t="n">
        <f aca="false">V58*'Title Inputs'!$E$16*'Title Inputs'!$E$11*Scenarios!$E$33/60</f>
        <v>40518.536936813</v>
      </c>
      <c r="W60" s="40" t="n">
        <f aca="false">W58*'Title Inputs'!$E$16*'Title Inputs'!$E$11*Scenarios!$E$33/60</f>
        <v>35332.1642089009</v>
      </c>
      <c r="X60" s="40" t="n">
        <f aca="false">X58*'Title Inputs'!$E$16*'Title Inputs'!$E$11*Scenarios!$E$33/60</f>
        <v>30809.6471901616</v>
      </c>
      <c r="Y60" s="40" t="n">
        <f aca="false">Y58*'Title Inputs'!$E$16*'Title Inputs'!$E$11*Scenarios!$E$33/60</f>
        <v>26866.0123498209</v>
      </c>
      <c r="Z60" s="40" t="n">
        <f aca="false">Z58*'Title Inputs'!$E$16*'Title Inputs'!$E$11*Scenarios!$E$33/60</f>
        <v>23427.1627690439</v>
      </c>
      <c r="AA60" s="40" t="n">
        <f aca="false">AA58*'Title Inputs'!$E$16*'Title Inputs'!$E$11*Scenarios!$E$33/60</f>
        <v>20428.4859346062</v>
      </c>
      <c r="AB60" s="40" t="n">
        <f aca="false">AB58*'Title Inputs'!$E$16*'Title Inputs'!$E$11*Scenarios!$E$33/60</f>
        <v>17813.6397349766</v>
      </c>
    </row>
    <row r="61" customFormat="false" ht="15" hidden="false" customHeight="false" outlineLevel="0" collapsed="false">
      <c r="A61" s="14"/>
      <c r="B61" s="9"/>
      <c r="C61" s="9" t="s">
        <v>198</v>
      </c>
      <c r="D61" s="27" t="n">
        <f aca="false">SUM(E61:AB61)</f>
        <v>38774800</v>
      </c>
      <c r="E61" s="40" t="n">
        <f aca="false">E60*'Title Inputs'!$E$24*Scenarios!$E$34</f>
        <v>5155789.72372636</v>
      </c>
      <c r="F61" s="40" t="n">
        <f aca="false">F60*'Title Inputs'!$E$24*Scenarios!$E$34</f>
        <v>4495848.63908938</v>
      </c>
      <c r="G61" s="40" t="n">
        <f aca="false">G60*'Title Inputs'!$E$24*Scenarios!$E$34</f>
        <v>3920380.01328594</v>
      </c>
      <c r="H61" s="40" t="n">
        <f aca="false">H60*'Title Inputs'!$E$24*Scenarios!$E$34</f>
        <v>3418571.37158534</v>
      </c>
      <c r="I61" s="40" t="n">
        <f aca="false">I60*'Title Inputs'!$E$24*Scenarios!$E$34</f>
        <v>2980994.23602242</v>
      </c>
      <c r="J61" s="40" t="n">
        <f aca="false">J60*'Title Inputs'!$E$24*Scenarios!$E$34</f>
        <v>2599426.97381155</v>
      </c>
      <c r="K61" s="40" t="n">
        <f aca="false">K60*'Title Inputs'!$E$24*Scenarios!$E$34</f>
        <v>2266700.32116367</v>
      </c>
      <c r="L61" s="40" t="n">
        <f aca="false">L60*'Title Inputs'!$E$24*Scenarios!$E$34</f>
        <v>1976562.68005472</v>
      </c>
      <c r="M61" s="40" t="n">
        <f aca="false">M60*'Title Inputs'!$E$24*Scenarios!$E$34</f>
        <v>1723562.65700772</v>
      </c>
      <c r="N61" s="40" t="n">
        <f aca="false">N60*'Title Inputs'!$E$24*Scenarios!$E$34</f>
        <v>1502946.63691073</v>
      </c>
      <c r="O61" s="40" t="n">
        <f aca="false">O60*'Title Inputs'!$E$24*Scenarios!$E$34</f>
        <v>1310569.46738616</v>
      </c>
      <c r="P61" s="40" t="n">
        <f aca="false">P60*'Title Inputs'!$E$24*Scenarios!$E$34</f>
        <v>1142816.57556073</v>
      </c>
      <c r="Q61" s="40" t="n">
        <f aca="false">Q60*'Title Inputs'!$E$24*Scenarios!$E$34</f>
        <v>996536.053888954</v>
      </c>
      <c r="R61" s="40" t="n">
        <f aca="false">R60*'Title Inputs'!$E$24*Scenarios!$E$34</f>
        <v>868979.438991168</v>
      </c>
      <c r="S61" s="40" t="n">
        <f aca="false">S60*'Title Inputs'!$E$24*Scenarios!$E$34</f>
        <v>757750.070800298</v>
      </c>
      <c r="T61" s="40" t="n">
        <f aca="false">T60*'Title Inputs'!$E$24*Scenarios!$E$34</f>
        <v>660758.06173786</v>
      </c>
      <c r="U61" s="40" t="n">
        <f aca="false">U60*'Title Inputs'!$E$24*Scenarios!$E$34</f>
        <v>576181.029835414</v>
      </c>
      <c r="V61" s="40" t="n">
        <f aca="false">V60*'Title Inputs'!$E$24*Scenarios!$E$34</f>
        <v>502429.858016481</v>
      </c>
      <c r="W61" s="40" t="n">
        <f aca="false">W60*'Title Inputs'!$E$24*Scenarios!$E$34</f>
        <v>438118.836190372</v>
      </c>
      <c r="X61" s="40" t="n">
        <f aca="false">X60*'Title Inputs'!$E$24*Scenarios!$E$34</f>
        <v>382039.625158004</v>
      </c>
      <c r="Y61" s="40" t="n">
        <f aca="false">Y60*'Title Inputs'!$E$24*Scenarios!$E$34</f>
        <v>333138.553137779</v>
      </c>
      <c r="Z61" s="40" t="n">
        <f aca="false">Z60*'Title Inputs'!$E$24*Scenarios!$E$34</f>
        <v>290496.818336144</v>
      </c>
      <c r="AA61" s="40" t="n">
        <f aca="false">AA60*'Title Inputs'!$E$24*Scenarios!$E$34</f>
        <v>253313.225589117</v>
      </c>
      <c r="AB61" s="40" t="n">
        <f aca="false">AB60*'Title Inputs'!$E$24*Scenarios!$E$34</f>
        <v>220889.13271371</v>
      </c>
    </row>
    <row r="62" customFormat="false" ht="15" hidden="false" customHeight="false" outlineLevel="0" collapsed="false">
      <c r="A62" s="14"/>
      <c r="B62" s="9"/>
      <c r="C62" s="9" t="s">
        <v>199</v>
      </c>
      <c r="D62" s="34" t="n">
        <f aca="false">SUM(E62:AB62)</f>
        <v>891820.4</v>
      </c>
      <c r="E62" s="41" t="n">
        <f aca="false">E61/1000*Scenarios!$E$35</f>
        <v>118583.163645706</v>
      </c>
      <c r="F62" s="41" t="n">
        <f aca="false">F61/1000*Scenarios!$E$35</f>
        <v>103404.518699056</v>
      </c>
      <c r="G62" s="41" t="n">
        <f aca="false">G61/1000*Scenarios!$E$35</f>
        <v>90168.7403055767</v>
      </c>
      <c r="H62" s="41" t="n">
        <f aca="false">H61/1000*Scenarios!$E$35</f>
        <v>78627.1415464629</v>
      </c>
      <c r="I62" s="41" t="n">
        <f aca="false">I61/1000*Scenarios!$E$35</f>
        <v>68562.8674285156</v>
      </c>
      <c r="J62" s="41" t="n">
        <f aca="false">J61/1000*Scenarios!$E$35</f>
        <v>59786.8203976656</v>
      </c>
      <c r="K62" s="41" t="n">
        <f aca="false">K61/1000*Scenarios!$E$35</f>
        <v>52134.1073867644</v>
      </c>
      <c r="L62" s="41" t="n">
        <f aca="false">L61/1000*Scenarios!$E$35</f>
        <v>45460.9416412586</v>
      </c>
      <c r="M62" s="41" t="n">
        <f aca="false">M61/1000*Scenarios!$E$35</f>
        <v>39641.9411111775</v>
      </c>
      <c r="N62" s="41" t="n">
        <f aca="false">N61/1000*Scenarios!$E$35</f>
        <v>34567.7726489467</v>
      </c>
      <c r="O62" s="41" t="n">
        <f aca="false">O61/1000*Scenarios!$E$35</f>
        <v>30143.0977498816</v>
      </c>
      <c r="P62" s="41" t="n">
        <f aca="false">P61/1000*Scenarios!$E$35</f>
        <v>26284.7812378967</v>
      </c>
      <c r="Q62" s="41" t="n">
        <f aca="false">Q61/1000*Scenarios!$E$35</f>
        <v>22920.3292394459</v>
      </c>
      <c r="R62" s="41" t="n">
        <f aca="false">R61/1000*Scenarios!$E$35</f>
        <v>19986.5270967969</v>
      </c>
      <c r="S62" s="41" t="n">
        <f aca="false">S61/1000*Scenarios!$E$35</f>
        <v>17428.2516284069</v>
      </c>
      <c r="T62" s="41" t="n">
        <f aca="false">T61/1000*Scenarios!$E$35</f>
        <v>15197.4354199708</v>
      </c>
      <c r="U62" s="41" t="n">
        <f aca="false">U61/1000*Scenarios!$E$35</f>
        <v>13252.1636862145</v>
      </c>
      <c r="V62" s="41" t="n">
        <f aca="false">V61/1000*Scenarios!$E$35</f>
        <v>11555.8867343791</v>
      </c>
      <c r="W62" s="41" t="n">
        <f aca="false">W61/1000*Scenarios!$E$35</f>
        <v>10076.7332323785</v>
      </c>
      <c r="X62" s="41" t="n">
        <f aca="false">X61/1000*Scenarios!$E$35</f>
        <v>8786.91137863409</v>
      </c>
      <c r="Y62" s="41" t="n">
        <f aca="false">Y61/1000*Scenarios!$E$35</f>
        <v>7662.18672216893</v>
      </c>
      <c r="Z62" s="41" t="n">
        <f aca="false">Z61/1000*Scenarios!$E$35</f>
        <v>6681.42682173131</v>
      </c>
      <c r="AA62" s="41" t="n">
        <f aca="false">AA61/1000*Scenarios!$E$35</f>
        <v>5826.2041885497</v>
      </c>
      <c r="AB62" s="41" t="n">
        <f aca="false">AB61/1000*Scenarios!$E$35</f>
        <v>5080.45005241534</v>
      </c>
    </row>
    <row r="64" customFormat="false" ht="15" hidden="false" customHeight="false" outlineLevel="0" collapsed="false">
      <c r="A64" s="14" t="s">
        <v>208</v>
      </c>
      <c r="B64" s="8" t="s">
        <v>125</v>
      </c>
      <c r="C64" s="9" t="s">
        <v>195</v>
      </c>
      <c r="D64" s="27" t="n">
        <f aca="false">SUM(E64:AB64)</f>
        <v>1650000</v>
      </c>
      <c r="E64" s="40" t="n">
        <f aca="false">Scenarios!$F$32*(1-Scenarios!$F$31)^(E$4-1)</f>
        <v>237358.694717357</v>
      </c>
      <c r="F64" s="40" t="n">
        <f aca="false">Scenarios!$F$32*(1-Scenarios!$F$31)^(F$4-1)</f>
        <v>204128.477456927</v>
      </c>
      <c r="G64" s="40" t="n">
        <f aca="false">Scenarios!$F$32*(1-Scenarios!$F$31)^(G$4-1)</f>
        <v>175550.490612957</v>
      </c>
      <c r="H64" s="40" t="n">
        <f aca="false">Scenarios!$F$32*(1-Scenarios!$F$31)^(H$4-1)</f>
        <v>150973.421927143</v>
      </c>
      <c r="I64" s="40" t="n">
        <f aca="false">Scenarios!$F$32*(1-Scenarios!$F$31)^(I$4-1)</f>
        <v>129837.142857343</v>
      </c>
      <c r="J64" s="40" t="n">
        <f aca="false">Scenarios!$F$32*(1-Scenarios!$F$31)^(J$4-1)</f>
        <v>111659.942857315</v>
      </c>
      <c r="K64" s="40" t="n">
        <f aca="false">Scenarios!$F$32*(1-Scenarios!$F$31)^(K$4-1)</f>
        <v>96027.5508572911</v>
      </c>
      <c r="L64" s="40" t="n">
        <f aca="false">Scenarios!$F$32*(1-Scenarios!$F$31)^(L$4-1)</f>
        <v>82583.6937372704</v>
      </c>
      <c r="M64" s="40" t="n">
        <f aca="false">Scenarios!$F$32*(1-Scenarios!$F$31)^(M$4-1)</f>
        <v>71021.9766140525</v>
      </c>
      <c r="N64" s="40" t="n">
        <f aca="false">Scenarios!$F$32*(1-Scenarios!$F$31)^(N$4-1)</f>
        <v>61078.8998880852</v>
      </c>
      <c r="O64" s="40" t="n">
        <f aca="false">Scenarios!$F$32*(1-Scenarios!$F$31)^(O$4-1)</f>
        <v>52527.8539037532</v>
      </c>
      <c r="P64" s="40" t="n">
        <f aca="false">Scenarios!$F$32*(1-Scenarios!$F$31)^(P$4-1)</f>
        <v>45173.9543572278</v>
      </c>
      <c r="Q64" s="40" t="n">
        <f aca="false">Scenarios!$F$32*(1-Scenarios!$F$31)^(Q$4-1)</f>
        <v>38849.6007472159</v>
      </c>
      <c r="R64" s="40" t="n">
        <f aca="false">Scenarios!$F$32*(1-Scenarios!$F$31)^(R$4-1)</f>
        <v>33410.6566426057</v>
      </c>
      <c r="S64" s="40" t="n">
        <f aca="false">Scenarios!$F$32*(1-Scenarios!$F$31)^(S$4-1)</f>
        <v>28733.1647126409</v>
      </c>
      <c r="T64" s="40" t="n">
        <f aca="false">Scenarios!$F$32*(1-Scenarios!$F$31)^(T$4-1)</f>
        <v>24710.5216528712</v>
      </c>
      <c r="U64" s="40" t="n">
        <f aca="false">Scenarios!$F$32*(1-Scenarios!$F$31)^(U$4-1)</f>
        <v>21251.0486214692</v>
      </c>
      <c r="V64" s="40" t="n">
        <f aca="false">Scenarios!$F$32*(1-Scenarios!$F$31)^(V$4-1)</f>
        <v>18275.9018144635</v>
      </c>
      <c r="W64" s="40" t="n">
        <f aca="false">Scenarios!$F$32*(1-Scenarios!$F$31)^(W$4-1)</f>
        <v>15717.2755604386</v>
      </c>
      <c r="X64" s="40" t="n">
        <f aca="false">Scenarios!$F$32*(1-Scenarios!$F$31)^(X$4-1)</f>
        <v>13516.8569819772</v>
      </c>
      <c r="Y64" s="40" t="n">
        <f aca="false">Scenarios!$F$32*(1-Scenarios!$F$31)^(Y$4-1)</f>
        <v>11624.4970045004</v>
      </c>
      <c r="Z64" s="40" t="n">
        <f aca="false">Scenarios!$F$32*(1-Scenarios!$F$31)^(Z$4-1)</f>
        <v>9997.06742387034</v>
      </c>
      <c r="AA64" s="40" t="n">
        <f aca="false">Scenarios!$F$32*(1-Scenarios!$F$31)^(AA$4-1)</f>
        <v>8597.47798452849</v>
      </c>
      <c r="AB64" s="40" t="n">
        <f aca="false">Scenarios!$F$32*(1-Scenarios!$F$31)^(AB$4-1)</f>
        <v>7393.8310666945</v>
      </c>
    </row>
    <row r="65" customFormat="false" ht="15" hidden="false" customHeight="false" outlineLevel="0" collapsed="false">
      <c r="A65" s="14"/>
      <c r="B65" s="9"/>
      <c r="C65" s="9" t="s">
        <v>196</v>
      </c>
      <c r="D65" s="36" t="n">
        <f aca="false">SUM(E65:AB65)</f>
        <v>1</v>
      </c>
      <c r="E65" s="21" t="n">
        <f aca="false">E64/$D$64</f>
        <v>0.143853754374156</v>
      </c>
      <c r="F65" s="21" t="n">
        <f aca="false">F64/$D$64</f>
        <v>0.123714228761774</v>
      </c>
      <c r="G65" s="21" t="n">
        <f aca="false">G64/$D$64</f>
        <v>0.106394236735126</v>
      </c>
      <c r="H65" s="21" t="n">
        <f aca="false">H64/$D$64</f>
        <v>0.0914990435922081</v>
      </c>
      <c r="I65" s="21" t="n">
        <f aca="false">I64/$D$64</f>
        <v>0.078689177489299</v>
      </c>
      <c r="J65" s="21" t="n">
        <f aca="false">J64/$D$64</f>
        <v>0.0676726926407971</v>
      </c>
      <c r="K65" s="21" t="n">
        <f aca="false">K64/$D$64</f>
        <v>0.0581985156710855</v>
      </c>
      <c r="L65" s="21" t="n">
        <f aca="false">L64/$D$64</f>
        <v>0.0500507234771335</v>
      </c>
      <c r="M65" s="21" t="n">
        <f aca="false">M64/$D$64</f>
        <v>0.0430436221903349</v>
      </c>
      <c r="N65" s="21" t="n">
        <f aca="false">N64/$D$64</f>
        <v>0.037017515083688</v>
      </c>
      <c r="O65" s="21" t="n">
        <f aca="false">O64/$D$64</f>
        <v>0.0318350629719717</v>
      </c>
      <c r="P65" s="21" t="n">
        <f aca="false">P64/$D$64</f>
        <v>0.0273781541558956</v>
      </c>
      <c r="Q65" s="21" t="n">
        <f aca="false">Q64/$D$64</f>
        <v>0.0235452125740702</v>
      </c>
      <c r="R65" s="21" t="n">
        <f aca="false">R64/$D$64</f>
        <v>0.0202488828137004</v>
      </c>
      <c r="S65" s="21" t="n">
        <f aca="false">S64/$D$64</f>
        <v>0.0174140392197823</v>
      </c>
      <c r="T65" s="21" t="n">
        <f aca="false">T64/$D$64</f>
        <v>0.0149760737290128</v>
      </c>
      <c r="U65" s="21" t="n">
        <f aca="false">U64/$D$64</f>
        <v>0.012879423406951</v>
      </c>
      <c r="V65" s="21" t="n">
        <f aca="false">V64/$D$64</f>
        <v>0.0110763041299779</v>
      </c>
      <c r="W65" s="21" t="n">
        <f aca="false">W64/$D$64</f>
        <v>0.00952562155178098</v>
      </c>
      <c r="X65" s="21" t="n">
        <f aca="false">X64/$D$64</f>
        <v>0.00819203453453164</v>
      </c>
      <c r="Y65" s="21" t="n">
        <f aca="false">Y64/$D$64</f>
        <v>0.00704514969969721</v>
      </c>
      <c r="Z65" s="21" t="n">
        <f aca="false">Z64/$D$64</f>
        <v>0.0060588287417396</v>
      </c>
      <c r="AA65" s="21" t="n">
        <f aca="false">AA64/$D$64</f>
        <v>0.00521059271789606</v>
      </c>
      <c r="AB65" s="21" t="n">
        <f aca="false">AB64/$D$64</f>
        <v>0.00448110973739061</v>
      </c>
    </row>
    <row r="66" customFormat="false" ht="15" hidden="false" customHeight="false" outlineLevel="0" collapsed="false">
      <c r="A66" s="14"/>
      <c r="B66" s="9"/>
      <c r="C66" s="9" t="s">
        <v>197</v>
      </c>
      <c r="D66" s="27" t="n">
        <f aca="false">SUM(E66:AB66)</f>
        <v>1965183</v>
      </c>
      <c r="E66" s="40" t="n">
        <f aca="false">E64*'Title Inputs'!$F$16*'Title Inputs'!$F$11*Scenarios!$F$33/60</f>
        <v>282698.952582267</v>
      </c>
      <c r="F66" s="40" t="n">
        <f aca="false">F64*'Title Inputs'!$F$16*'Title Inputs'!$F$11*Scenarios!$F$33/60</f>
        <v>243121.09922075</v>
      </c>
      <c r="G66" s="40" t="n">
        <f aca="false">G64*'Title Inputs'!$F$16*'Title Inputs'!$F$11*Scenarios!$F$33/60</f>
        <v>209084.145329845</v>
      </c>
      <c r="H66" s="40" t="n">
        <f aca="false">H64*'Title Inputs'!$F$16*'Title Inputs'!$F$11*Scenarios!$F$33/60</f>
        <v>179812.364983666</v>
      </c>
      <c r="I66" s="40" t="n">
        <f aca="false">I64*'Title Inputs'!$F$16*'Title Inputs'!$F$11*Scenarios!$F$33/60</f>
        <v>154638.633885953</v>
      </c>
      <c r="J66" s="40" t="n">
        <f aca="false">J64*'Title Inputs'!$F$16*'Title Inputs'!$F$11*Scenarios!$F$33/60</f>
        <v>132989.22514192</v>
      </c>
      <c r="K66" s="40" t="n">
        <f aca="false">K64*'Title Inputs'!$F$16*'Title Inputs'!$F$11*Scenarios!$F$33/60</f>
        <v>114370.733622051</v>
      </c>
      <c r="L66" s="40" t="n">
        <f aca="false">L64*'Title Inputs'!$F$16*'Title Inputs'!$F$11*Scenarios!$F$33/60</f>
        <v>98358.8309149637</v>
      </c>
      <c r="M66" s="40" t="n">
        <f aca="false">M64*'Title Inputs'!$F$16*'Title Inputs'!$F$11*Scenarios!$F$33/60</f>
        <v>84588.5945868688</v>
      </c>
      <c r="N66" s="40" t="n">
        <f aca="false">N64*'Title Inputs'!$F$16*'Title Inputs'!$F$11*Scenarios!$F$33/60</f>
        <v>72746.1913447072</v>
      </c>
      <c r="O66" s="40" t="n">
        <f aca="false">O64*'Title Inputs'!$F$16*'Title Inputs'!$F$11*Scenarios!$F$33/60</f>
        <v>62561.7245564482</v>
      </c>
      <c r="P66" s="40" t="n">
        <f aca="false">P64*'Title Inputs'!$F$16*'Title Inputs'!$F$11*Scenarios!$F$33/60</f>
        <v>53803.0831185454</v>
      </c>
      <c r="Q66" s="40" t="n">
        <f aca="false">Q64*'Title Inputs'!$F$16*'Title Inputs'!$F$11*Scenarios!$F$33/60</f>
        <v>46270.6514819491</v>
      </c>
      <c r="R66" s="40" t="n">
        <f aca="false">R64*'Title Inputs'!$F$16*'Title Inputs'!$F$11*Scenarios!$F$33/60</f>
        <v>39792.7602744762</v>
      </c>
      <c r="S66" s="40" t="n">
        <f aca="false">S64*'Title Inputs'!$F$16*'Title Inputs'!$F$11*Scenarios!$F$33/60</f>
        <v>34221.7738360495</v>
      </c>
      <c r="T66" s="40" t="n">
        <f aca="false">T64*'Title Inputs'!$F$16*'Title Inputs'!$F$11*Scenarios!$F$33/60</f>
        <v>29430.7254990026</v>
      </c>
      <c r="U66" s="40" t="n">
        <f aca="false">U64*'Title Inputs'!$F$16*'Title Inputs'!$F$11*Scenarios!$F$33/60</f>
        <v>25310.4239291422</v>
      </c>
      <c r="V66" s="40" t="n">
        <f aca="false">V64*'Title Inputs'!$F$16*'Title Inputs'!$F$11*Scenarios!$F$33/60</f>
        <v>21766.9645790623</v>
      </c>
      <c r="W66" s="40" t="n">
        <f aca="false">W64*'Title Inputs'!$F$16*'Title Inputs'!$F$11*Scenarios!$F$33/60</f>
        <v>18719.5895379936</v>
      </c>
      <c r="X66" s="40" t="n">
        <f aca="false">X64*'Title Inputs'!$F$16*'Title Inputs'!$F$11*Scenarios!$F$33/60</f>
        <v>16098.8470026745</v>
      </c>
      <c r="Y66" s="40" t="n">
        <f aca="false">Y64*'Title Inputs'!$F$16*'Title Inputs'!$F$11*Scenarios!$F$33/60</f>
        <v>13845.0084223001</v>
      </c>
      <c r="Z66" s="40" t="n">
        <f aca="false">Z64*'Title Inputs'!$F$16*'Title Inputs'!$F$11*Scenarios!$F$33/60</f>
        <v>11906.7072431781</v>
      </c>
      <c r="AA66" s="40" t="n">
        <f aca="false">AA64*'Title Inputs'!$F$16*'Title Inputs'!$F$11*Scenarios!$F$33/60</f>
        <v>10239.7682291331</v>
      </c>
      <c r="AB66" s="40" t="n">
        <f aca="false">AB64*'Title Inputs'!$F$16*'Title Inputs'!$F$11*Scenarios!$F$33/60</f>
        <v>8806.20067705449</v>
      </c>
    </row>
    <row r="67" customFormat="false" ht="15" hidden="false" customHeight="false" outlineLevel="0" collapsed="false">
      <c r="A67" s="14"/>
      <c r="B67" s="9"/>
      <c r="C67" s="9" t="s">
        <v>198</v>
      </c>
      <c r="D67" s="27" t="n">
        <f aca="false">SUM(E67:AB67)</f>
        <v>22697863.65</v>
      </c>
      <c r="E67" s="40" t="n">
        <f aca="false">E66*'Title Inputs'!$F$24*Scenarios!$F$34</f>
        <v>3265172.90232518</v>
      </c>
      <c r="F67" s="40" t="n">
        <f aca="false">F66*'Title Inputs'!$F$24*Scenarios!$F$34</f>
        <v>2808048.69599966</v>
      </c>
      <c r="G67" s="40" t="n">
        <f aca="false">G66*'Title Inputs'!$F$24*Scenarios!$F$34</f>
        <v>2414921.8785597</v>
      </c>
      <c r="H67" s="40" t="n">
        <f aca="false">H66*'Title Inputs'!$F$24*Scenarios!$F$34</f>
        <v>2076832.81556135</v>
      </c>
      <c r="I67" s="40" t="n">
        <f aca="false">I66*'Title Inputs'!$F$24*Scenarios!$F$34</f>
        <v>1786076.22138276</v>
      </c>
      <c r="J67" s="40" t="n">
        <f aca="false">J66*'Title Inputs'!$F$24*Scenarios!$F$34</f>
        <v>1536025.55038917</v>
      </c>
      <c r="K67" s="40" t="n">
        <f aca="false">K66*'Title Inputs'!$F$24*Scenarios!$F$34</f>
        <v>1320981.97333469</v>
      </c>
      <c r="L67" s="40" t="n">
        <f aca="false">L66*'Title Inputs'!$F$24*Scenarios!$F$34</f>
        <v>1136044.49706783</v>
      </c>
      <c r="M67" s="40" t="n">
        <f aca="false">M66*'Title Inputs'!$F$24*Scenarios!$F$34</f>
        <v>976998.267478335</v>
      </c>
      <c r="N67" s="40" t="n">
        <f aca="false">N66*'Title Inputs'!$F$24*Scenarios!$F$34</f>
        <v>840218.510031368</v>
      </c>
      <c r="O67" s="40" t="n">
        <f aca="false">O66*'Title Inputs'!$F$24*Scenarios!$F$34</f>
        <v>722587.918626976</v>
      </c>
      <c r="P67" s="40" t="n">
        <f aca="false">P66*'Title Inputs'!$F$24*Scenarios!$F$34</f>
        <v>621425.6100192</v>
      </c>
      <c r="Q67" s="40" t="n">
        <f aca="false">Q66*'Title Inputs'!$F$24*Scenarios!$F$34</f>
        <v>534426.024616512</v>
      </c>
      <c r="R67" s="40" t="n">
        <f aca="false">R66*'Title Inputs'!$F$24*Scenarios!$F$34</f>
        <v>459606.3811702</v>
      </c>
      <c r="S67" s="40" t="n">
        <f aca="false">S66*'Title Inputs'!$F$24*Scenarios!$F$34</f>
        <v>395261.487806372</v>
      </c>
      <c r="T67" s="40" t="n">
        <f aca="false">T66*'Title Inputs'!$F$24*Scenarios!$F$34</f>
        <v>339924.87951348</v>
      </c>
      <c r="U67" s="40" t="n">
        <f aca="false">U66*'Title Inputs'!$F$24*Scenarios!$F$34</f>
        <v>292335.396381593</v>
      </c>
      <c r="V67" s="40" t="n">
        <f aca="false">V66*'Title Inputs'!$F$24*Scenarios!$F$34</f>
        <v>251408.44088817</v>
      </c>
      <c r="W67" s="40" t="n">
        <f aca="false">W66*'Title Inputs'!$F$24*Scenarios!$F$34</f>
        <v>216211.259163826</v>
      </c>
      <c r="X67" s="40" t="n">
        <f aca="false">X66*'Title Inputs'!$F$24*Scenarios!$F$34</f>
        <v>185941.68288089</v>
      </c>
      <c r="Y67" s="40" t="n">
        <f aca="false">Y66*'Title Inputs'!$F$24*Scenarios!$F$34</f>
        <v>159909.847277566</v>
      </c>
      <c r="Z67" s="40" t="n">
        <f aca="false">Z66*'Title Inputs'!$F$24*Scenarios!$F$34</f>
        <v>137522.468658707</v>
      </c>
      <c r="AA67" s="40" t="n">
        <f aca="false">AA66*'Title Inputs'!$F$24*Scenarios!$F$34</f>
        <v>118269.323046488</v>
      </c>
      <c r="AB67" s="40" t="n">
        <f aca="false">AB66*'Title Inputs'!$F$24*Scenarios!$F$34</f>
        <v>101711.617819979</v>
      </c>
    </row>
    <row r="68" customFormat="false" ht="15" hidden="false" customHeight="false" outlineLevel="0" collapsed="false">
      <c r="A68" s="14"/>
      <c r="B68" s="9"/>
      <c r="C68" s="9" t="s">
        <v>199</v>
      </c>
      <c r="D68" s="34" t="n">
        <f aca="false">SUM(E68:AB68)</f>
        <v>476655.13665</v>
      </c>
      <c r="E68" s="41" t="n">
        <f aca="false">E67/1000*Scenarios!$F$35</f>
        <v>68568.6309488288</v>
      </c>
      <c r="F68" s="41" t="n">
        <f aca="false">F67/1000*Scenarios!$F$35</f>
        <v>58969.0226159928</v>
      </c>
      <c r="G68" s="41" t="n">
        <f aca="false">G67/1000*Scenarios!$F$35</f>
        <v>50713.3594497538</v>
      </c>
      <c r="H68" s="41" t="n">
        <f aca="false">H67/1000*Scenarios!$F$35</f>
        <v>43613.4891267883</v>
      </c>
      <c r="I68" s="41" t="n">
        <f aca="false">I67/1000*Scenarios!$F$35</f>
        <v>37507.6006490379</v>
      </c>
      <c r="J68" s="41" t="n">
        <f aca="false">J67/1000*Scenarios!$F$35</f>
        <v>32256.5365581726</v>
      </c>
      <c r="K68" s="41" t="n">
        <f aca="false">K67/1000*Scenarios!$F$35</f>
        <v>27740.6214400284</v>
      </c>
      <c r="L68" s="41" t="n">
        <f aca="false">L67/1000*Scenarios!$F$35</f>
        <v>23856.9344384244</v>
      </c>
      <c r="M68" s="41" t="n">
        <f aca="false">M67/1000*Scenarios!$F$35</f>
        <v>20516.963617045</v>
      </c>
      <c r="N68" s="41" t="n">
        <f aca="false">N67/1000*Scenarios!$F$35</f>
        <v>17644.5887106587</v>
      </c>
      <c r="O68" s="41" t="n">
        <f aca="false">O67/1000*Scenarios!$F$35</f>
        <v>15174.3462911665</v>
      </c>
      <c r="P68" s="41" t="n">
        <f aca="false">P67/1000*Scenarios!$F$35</f>
        <v>13049.9378104032</v>
      </c>
      <c r="Q68" s="41" t="n">
        <f aca="false">Q67/1000*Scenarios!$F$35</f>
        <v>11222.9465169467</v>
      </c>
      <c r="R68" s="41" t="n">
        <f aca="false">R67/1000*Scenarios!$F$35</f>
        <v>9651.7340045742</v>
      </c>
      <c r="S68" s="41" t="n">
        <f aca="false">S67/1000*Scenarios!$F$35</f>
        <v>8300.49124393381</v>
      </c>
      <c r="T68" s="41" t="n">
        <f aca="false">T67/1000*Scenarios!$F$35</f>
        <v>7138.42246978308</v>
      </c>
      <c r="U68" s="41" t="n">
        <f aca="false">U67/1000*Scenarios!$F$35</f>
        <v>6139.04332401345</v>
      </c>
      <c r="V68" s="41" t="n">
        <f aca="false">V67/1000*Scenarios!$F$35</f>
        <v>5279.57725865157</v>
      </c>
      <c r="W68" s="41" t="n">
        <f aca="false">W67/1000*Scenarios!$F$35</f>
        <v>4540.43644244035</v>
      </c>
      <c r="X68" s="41" t="n">
        <f aca="false">X67/1000*Scenarios!$F$35</f>
        <v>3904.7753404987</v>
      </c>
      <c r="Y68" s="41" t="n">
        <f aca="false">Y67/1000*Scenarios!$F$35</f>
        <v>3358.10679282888</v>
      </c>
      <c r="Z68" s="41" t="n">
        <f aca="false">Z67/1000*Scenarios!$F$35</f>
        <v>2887.97184183284</v>
      </c>
      <c r="AA68" s="41" t="n">
        <f aca="false">AA67/1000*Scenarios!$F$35</f>
        <v>2483.65578397624</v>
      </c>
      <c r="AB68" s="41" t="n">
        <f aca="false">AB67/1000*Scenarios!$F$35</f>
        <v>2135.94397421957</v>
      </c>
    </row>
    <row r="70" customFormat="false" ht="15" hidden="false" customHeight="false" outlineLevel="0" collapsed="false">
      <c r="A70" s="14" t="s">
        <v>208</v>
      </c>
      <c r="B70" s="8" t="s">
        <v>126</v>
      </c>
      <c r="C70" s="9" t="s">
        <v>195</v>
      </c>
      <c r="D70" s="27" t="n">
        <f aca="false">SUM(E70:AB70)</f>
        <v>850000</v>
      </c>
      <c r="E70" s="40" t="n">
        <f aca="false">Scenarios!$G$32*(1-Scenarios!$G$31)^(E$4-1)</f>
        <v>130132.943071112</v>
      </c>
      <c r="F70" s="40" t="n">
        <f aca="false">Scenarios!$G$32*(1-Scenarios!$G$31)^(F$4-1)</f>
        <v>110613.001610445</v>
      </c>
      <c r="G70" s="40" t="n">
        <f aca="false">Scenarios!$G$32*(1-Scenarios!$G$31)^(G$4-1)</f>
        <v>94021.0513688784</v>
      </c>
      <c r="H70" s="40" t="n">
        <f aca="false">Scenarios!$G$32*(1-Scenarios!$G$31)^(H$4-1)</f>
        <v>79917.8936635466</v>
      </c>
      <c r="I70" s="40" t="n">
        <f aca="false">Scenarios!$G$32*(1-Scenarios!$G$31)^(I$4-1)</f>
        <v>67930.2096140146</v>
      </c>
      <c r="J70" s="40" t="n">
        <f aca="false">Scenarios!$G$32*(1-Scenarios!$G$31)^(J$4-1)</f>
        <v>57740.6781719124</v>
      </c>
      <c r="K70" s="40" t="n">
        <f aca="false">Scenarios!$G$32*(1-Scenarios!$G$31)^(K$4-1)</f>
        <v>49079.5764461256</v>
      </c>
      <c r="L70" s="40" t="n">
        <f aca="false">Scenarios!$G$32*(1-Scenarios!$G$31)^(L$4-1)</f>
        <v>41717.6399792067</v>
      </c>
      <c r="M70" s="40" t="n">
        <f aca="false">Scenarios!$G$32*(1-Scenarios!$G$31)^(M$4-1)</f>
        <v>35459.9939823257</v>
      </c>
      <c r="N70" s="40" t="n">
        <f aca="false">Scenarios!$G$32*(1-Scenarios!$G$31)^(N$4-1)</f>
        <v>30140.9948849769</v>
      </c>
      <c r="O70" s="40" t="n">
        <f aca="false">Scenarios!$G$32*(1-Scenarios!$G$31)^(O$4-1)</f>
        <v>25619.8456522303</v>
      </c>
      <c r="P70" s="40" t="n">
        <f aca="false">Scenarios!$G$32*(1-Scenarios!$G$31)^(P$4-1)</f>
        <v>21776.8688043958</v>
      </c>
      <c r="Q70" s="40" t="n">
        <f aca="false">Scenarios!$G$32*(1-Scenarios!$G$31)^(Q$4-1)</f>
        <v>18510.3384837364</v>
      </c>
      <c r="R70" s="40" t="n">
        <f aca="false">Scenarios!$G$32*(1-Scenarios!$G$31)^(R$4-1)</f>
        <v>15733.787711176</v>
      </c>
      <c r="S70" s="40" t="n">
        <f aca="false">Scenarios!$G$32*(1-Scenarios!$G$31)^(S$4-1)</f>
        <v>13373.7195544996</v>
      </c>
      <c r="T70" s="40" t="n">
        <f aca="false">Scenarios!$G$32*(1-Scenarios!$G$31)^(T$4-1)</f>
        <v>11367.6616213246</v>
      </c>
      <c r="U70" s="40" t="n">
        <f aca="false">Scenarios!$G$32*(1-Scenarios!$G$31)^(U$4-1)</f>
        <v>9662.51237812593</v>
      </c>
      <c r="V70" s="40" t="n">
        <f aca="false">Scenarios!$G$32*(1-Scenarios!$G$31)^(V$4-1)</f>
        <v>8213.13552140704</v>
      </c>
      <c r="W70" s="40" t="n">
        <f aca="false">Scenarios!$G$32*(1-Scenarios!$G$31)^(W$4-1)</f>
        <v>6981.16519319599</v>
      </c>
      <c r="X70" s="40" t="n">
        <f aca="false">Scenarios!$G$32*(1-Scenarios!$G$31)^(X$4-1)</f>
        <v>5933.99041421659</v>
      </c>
      <c r="Y70" s="40" t="n">
        <f aca="false">Scenarios!$G$32*(1-Scenarios!$G$31)^(Y$4-1)</f>
        <v>5043.8918520841</v>
      </c>
      <c r="Z70" s="40" t="n">
        <f aca="false">Scenarios!$G$32*(1-Scenarios!$G$31)^(Z$4-1)</f>
        <v>4287.30807427148</v>
      </c>
      <c r="AA70" s="40" t="n">
        <f aca="false">Scenarios!$G$32*(1-Scenarios!$G$31)^(AA$4-1)</f>
        <v>3644.21186313076</v>
      </c>
      <c r="AB70" s="40" t="n">
        <f aca="false">Scenarios!$G$32*(1-Scenarios!$G$31)^(AB$4-1)</f>
        <v>3097.58008366115</v>
      </c>
    </row>
    <row r="71" customFormat="false" ht="15" hidden="false" customHeight="false" outlineLevel="0" collapsed="false">
      <c r="A71" s="14"/>
      <c r="B71" s="9"/>
      <c r="C71" s="9" t="s">
        <v>196</v>
      </c>
      <c r="D71" s="36" t="n">
        <f aca="false">SUM(E71:AB71)</f>
        <v>1</v>
      </c>
      <c r="E71" s="21" t="n">
        <f aca="false">E70/$D$70</f>
        <v>0.153097580083661</v>
      </c>
      <c r="F71" s="21" t="n">
        <f aca="false">F70/$D$70</f>
        <v>0.130132943071112</v>
      </c>
      <c r="G71" s="21" t="n">
        <f aca="false">G70/$D$70</f>
        <v>0.110613001610445</v>
      </c>
      <c r="H71" s="21" t="n">
        <f aca="false">H70/$D$70</f>
        <v>0.0940210513688784</v>
      </c>
      <c r="I71" s="21" t="n">
        <f aca="false">I70/$D$70</f>
        <v>0.0799178936635466</v>
      </c>
      <c r="J71" s="21" t="n">
        <f aca="false">J70/$D$70</f>
        <v>0.0679302096140147</v>
      </c>
      <c r="K71" s="21" t="n">
        <f aca="false">K70/$D$70</f>
        <v>0.0577406781719124</v>
      </c>
      <c r="L71" s="21" t="n">
        <f aca="false">L70/$D$70</f>
        <v>0.0490795764461256</v>
      </c>
      <c r="M71" s="21" t="n">
        <f aca="false">M70/$D$70</f>
        <v>0.0417176399792067</v>
      </c>
      <c r="N71" s="21" t="n">
        <f aca="false">N70/$D$70</f>
        <v>0.0354599939823257</v>
      </c>
      <c r="O71" s="21" t="n">
        <f aca="false">O70/$D$70</f>
        <v>0.0301409948849769</v>
      </c>
      <c r="P71" s="21" t="n">
        <f aca="false">P70/$D$70</f>
        <v>0.0256198456522303</v>
      </c>
      <c r="Q71" s="21" t="n">
        <f aca="false">Q70/$D$70</f>
        <v>0.0217768688043958</v>
      </c>
      <c r="R71" s="21" t="n">
        <f aca="false">R70/$D$70</f>
        <v>0.0185103384837364</v>
      </c>
      <c r="S71" s="21" t="n">
        <f aca="false">S70/$D$70</f>
        <v>0.015733787711176</v>
      </c>
      <c r="T71" s="21" t="n">
        <f aca="false">T70/$D$70</f>
        <v>0.0133737195544996</v>
      </c>
      <c r="U71" s="21" t="n">
        <f aca="false">U70/$D$70</f>
        <v>0.0113676616213246</v>
      </c>
      <c r="V71" s="21" t="n">
        <f aca="false">V70/$D$70</f>
        <v>0.00966251237812593</v>
      </c>
      <c r="W71" s="21" t="n">
        <f aca="false">W70/$D$70</f>
        <v>0.00821313552140704</v>
      </c>
      <c r="X71" s="21" t="n">
        <f aca="false">X70/$D$70</f>
        <v>0.00698116519319599</v>
      </c>
      <c r="Y71" s="21" t="n">
        <f aca="false">Y70/$D$70</f>
        <v>0.00593399041421659</v>
      </c>
      <c r="Z71" s="21" t="n">
        <f aca="false">Z70/$D$70</f>
        <v>0.0050438918520841</v>
      </c>
      <c r="AA71" s="21" t="n">
        <f aca="false">AA70/$D$70</f>
        <v>0.00428730807427149</v>
      </c>
      <c r="AB71" s="21" t="n">
        <f aca="false">AB70/$D$70</f>
        <v>0.00364421186313076</v>
      </c>
    </row>
    <row r="72" customFormat="false" ht="15" hidden="false" customHeight="false" outlineLevel="0" collapsed="false">
      <c r="A72" s="14"/>
      <c r="B72" s="9"/>
      <c r="C72" s="9" t="s">
        <v>197</v>
      </c>
      <c r="D72" s="27" t="n">
        <f aca="false">SUM(E72:AB72)</f>
        <v>681615</v>
      </c>
      <c r="E72" s="40" t="n">
        <f aca="false">E70*'Title Inputs'!$G$16*'Title Inputs'!$G$11*Scenarios!$G$33/60</f>
        <v>104353.607048725</v>
      </c>
      <c r="F72" s="40" t="n">
        <f aca="false">F70*'Title Inputs'!$G$16*'Title Inputs'!$G$11*Scenarios!$G$33/60</f>
        <v>88700.565991416</v>
      </c>
      <c r="G72" s="40" t="n">
        <f aca="false">G70*'Title Inputs'!$G$16*'Title Inputs'!$G$11*Scenarios!$G$33/60</f>
        <v>75395.4810927036</v>
      </c>
      <c r="H72" s="40" t="n">
        <f aca="false">H70*'Title Inputs'!$G$16*'Title Inputs'!$G$11*Scenarios!$G$33/60</f>
        <v>64086.1589287981</v>
      </c>
      <c r="I72" s="40" t="n">
        <f aca="false">I70*'Title Inputs'!$G$16*'Title Inputs'!$G$11*Scenarios!$G$33/60</f>
        <v>54473.2350894783</v>
      </c>
      <c r="J72" s="40" t="n">
        <f aca="false">J70*'Title Inputs'!$G$16*'Title Inputs'!$G$11*Scenarios!$G$33/60</f>
        <v>46302.2498260566</v>
      </c>
      <c r="K72" s="40" t="n">
        <f aca="false">K70*'Title Inputs'!$G$16*'Title Inputs'!$G$11*Scenarios!$G$33/60</f>
        <v>39356.9123521481</v>
      </c>
      <c r="L72" s="40" t="n">
        <f aca="false">L70*'Title Inputs'!$G$16*'Title Inputs'!$G$11*Scenarios!$G$33/60</f>
        <v>33453.3754993259</v>
      </c>
      <c r="M72" s="40" t="n">
        <f aca="false">M70*'Title Inputs'!$G$16*'Title Inputs'!$G$11*Scenarios!$G$33/60</f>
        <v>28435.369174427</v>
      </c>
      <c r="N72" s="40" t="n">
        <f aca="false">N70*'Title Inputs'!$G$16*'Title Inputs'!$G$11*Scenarios!$G$33/60</f>
        <v>24170.063798263</v>
      </c>
      <c r="O72" s="40" t="n">
        <f aca="false">O70*'Title Inputs'!$G$16*'Title Inputs'!$G$11*Scenarios!$G$33/60</f>
        <v>20544.5542285235</v>
      </c>
      <c r="P72" s="40" t="n">
        <f aca="false">P70*'Title Inputs'!$G$16*'Title Inputs'!$G$11*Scenarios!$G$33/60</f>
        <v>17462.871094245</v>
      </c>
      <c r="Q72" s="40" t="n">
        <f aca="false">Q70*'Title Inputs'!$G$16*'Title Inputs'!$G$11*Scenarios!$G$33/60</f>
        <v>14843.4404301082</v>
      </c>
      <c r="R72" s="40" t="n">
        <f aca="false">R70*'Title Inputs'!$G$16*'Title Inputs'!$G$11*Scenarios!$G$33/60</f>
        <v>12616.924365592</v>
      </c>
      <c r="S72" s="40" t="n">
        <f aca="false">S70*'Title Inputs'!$G$16*'Title Inputs'!$G$11*Scenarios!$G$33/60</f>
        <v>10724.3857107532</v>
      </c>
      <c r="T72" s="40" t="n">
        <f aca="false">T70*'Title Inputs'!$G$16*'Title Inputs'!$G$11*Scenarios!$G$33/60</f>
        <v>9115.72785414022</v>
      </c>
      <c r="U72" s="40" t="n">
        <f aca="false">U70*'Title Inputs'!$G$16*'Title Inputs'!$G$11*Scenarios!$G$33/60</f>
        <v>7748.36867601918</v>
      </c>
      <c r="V72" s="40" t="n">
        <f aca="false">V70*'Title Inputs'!$G$16*'Title Inputs'!$G$11*Scenarios!$G$33/60</f>
        <v>6586.11337461631</v>
      </c>
      <c r="W72" s="40" t="n">
        <f aca="false">W70*'Title Inputs'!$G$16*'Title Inputs'!$G$11*Scenarios!$G$33/60</f>
        <v>5598.19636842386</v>
      </c>
      <c r="X72" s="40" t="n">
        <f aca="false">X70*'Title Inputs'!$G$16*'Title Inputs'!$G$11*Scenarios!$G$33/60</f>
        <v>4758.46691316028</v>
      </c>
      <c r="Y72" s="40" t="n">
        <f aca="false">Y70*'Title Inputs'!$G$16*'Title Inputs'!$G$11*Scenarios!$G$33/60</f>
        <v>4044.69687618624</v>
      </c>
      <c r="Z72" s="40" t="n">
        <f aca="false">Z70*'Title Inputs'!$G$16*'Title Inputs'!$G$11*Scenarios!$G$33/60</f>
        <v>3437.9923447583</v>
      </c>
      <c r="AA72" s="40" t="n">
        <f aca="false">AA70*'Title Inputs'!$G$16*'Title Inputs'!$G$11*Scenarios!$G$33/60</f>
        <v>2922.29349304456</v>
      </c>
      <c r="AB72" s="40" t="n">
        <f aca="false">AB70*'Title Inputs'!$G$16*'Title Inputs'!$G$11*Scenarios!$G$33/60</f>
        <v>2483.94946908787</v>
      </c>
    </row>
    <row r="73" customFormat="false" ht="15" hidden="false" customHeight="false" outlineLevel="0" collapsed="false">
      <c r="A73" s="14"/>
      <c r="B73" s="9"/>
      <c r="C73" s="9" t="s">
        <v>198</v>
      </c>
      <c r="D73" s="27" t="n">
        <f aca="false">SUM(E73:AB73)</f>
        <v>7668168.75</v>
      </c>
      <c r="E73" s="40" t="n">
        <f aca="false">E72*'Title Inputs'!$G$24*Scenarios!$G$34</f>
        <v>1173978.07929815</v>
      </c>
      <c r="F73" s="40" t="n">
        <f aca="false">F72*'Title Inputs'!$G$24*Scenarios!$G$34</f>
        <v>997881.36740343</v>
      </c>
      <c r="G73" s="40" t="n">
        <f aca="false">G72*'Title Inputs'!$G$24*Scenarios!$G$34</f>
        <v>848199.162292915</v>
      </c>
      <c r="H73" s="40" t="n">
        <f aca="false">H72*'Title Inputs'!$G$24*Scenarios!$G$34</f>
        <v>720969.287948978</v>
      </c>
      <c r="I73" s="40" t="n">
        <f aca="false">I72*'Title Inputs'!$G$24*Scenarios!$G$34</f>
        <v>612823.894756631</v>
      </c>
      <c r="J73" s="40" t="n">
        <f aca="false">J72*'Title Inputs'!$G$24*Scenarios!$G$34</f>
        <v>520900.310543137</v>
      </c>
      <c r="K73" s="40" t="n">
        <f aca="false">K72*'Title Inputs'!$G$24*Scenarios!$G$34</f>
        <v>442765.263961666</v>
      </c>
      <c r="L73" s="40" t="n">
        <f aca="false">L72*'Title Inputs'!$G$24*Scenarios!$G$34</f>
        <v>376350.474367416</v>
      </c>
      <c r="M73" s="40" t="n">
        <f aca="false">M72*'Title Inputs'!$G$24*Scenarios!$G$34</f>
        <v>319897.903212304</v>
      </c>
      <c r="N73" s="40" t="n">
        <f aca="false">N72*'Title Inputs'!$G$24*Scenarios!$G$34</f>
        <v>271913.217730458</v>
      </c>
      <c r="O73" s="40" t="n">
        <f aca="false">O72*'Title Inputs'!$G$24*Scenarios!$G$34</f>
        <v>231126.235070889</v>
      </c>
      <c r="P73" s="40" t="n">
        <f aca="false">P72*'Title Inputs'!$G$24*Scenarios!$G$34</f>
        <v>196457.299810256</v>
      </c>
      <c r="Q73" s="40" t="n">
        <f aca="false">Q72*'Title Inputs'!$G$24*Scenarios!$G$34</f>
        <v>166988.704838718</v>
      </c>
      <c r="R73" s="40" t="n">
        <f aca="false">R72*'Title Inputs'!$G$24*Scenarios!$G$34</f>
        <v>141940.39911291</v>
      </c>
      <c r="S73" s="40" t="n">
        <f aca="false">S72*'Title Inputs'!$G$24*Scenarios!$G$34</f>
        <v>120649.339245973</v>
      </c>
      <c r="T73" s="40" t="n">
        <f aca="false">T72*'Title Inputs'!$G$24*Scenarios!$G$34</f>
        <v>102551.938359077</v>
      </c>
      <c r="U73" s="40" t="n">
        <f aca="false">U72*'Title Inputs'!$G$24*Scenarios!$G$34</f>
        <v>87169.1476052158</v>
      </c>
      <c r="V73" s="40" t="n">
        <f aca="false">V72*'Title Inputs'!$G$24*Scenarios!$G$34</f>
        <v>74093.7754644335</v>
      </c>
      <c r="W73" s="40" t="n">
        <f aca="false">W72*'Title Inputs'!$G$24*Scenarios!$G$34</f>
        <v>62979.7091447684</v>
      </c>
      <c r="X73" s="40" t="n">
        <f aca="false">X72*'Title Inputs'!$G$24*Scenarios!$G$34</f>
        <v>53532.7527730532</v>
      </c>
      <c r="Y73" s="40" t="n">
        <f aca="false">Y72*'Title Inputs'!$G$24*Scenarios!$G$34</f>
        <v>45502.8398570952</v>
      </c>
      <c r="Z73" s="40" t="n">
        <f aca="false">Z72*'Title Inputs'!$G$24*Scenarios!$G$34</f>
        <v>38677.4138785309</v>
      </c>
      <c r="AA73" s="40" t="n">
        <f aca="false">AA72*'Title Inputs'!$G$24*Scenarios!$G$34</f>
        <v>32875.8017967513</v>
      </c>
      <c r="AB73" s="40" t="n">
        <f aca="false">AB72*'Title Inputs'!$G$24*Scenarios!$G$34</f>
        <v>27944.4315272386</v>
      </c>
    </row>
    <row r="74" customFormat="false" ht="15" hidden="false" customHeight="false" outlineLevel="0" collapsed="false">
      <c r="A74" s="14"/>
      <c r="B74" s="9"/>
      <c r="C74" s="9" t="s">
        <v>199</v>
      </c>
      <c r="D74" s="34" t="n">
        <f aca="false">SUM(E74:AB74)</f>
        <v>149529.290625</v>
      </c>
      <c r="E74" s="41" t="n">
        <f aca="false">E73/1000*Scenarios!$G$35</f>
        <v>22892.572546314</v>
      </c>
      <c r="F74" s="41" t="n">
        <f aca="false">F73/1000*Scenarios!$G$35</f>
        <v>19458.6866643669</v>
      </c>
      <c r="G74" s="41" t="n">
        <f aca="false">G73/1000*Scenarios!$G$35</f>
        <v>16539.8836647119</v>
      </c>
      <c r="H74" s="41" t="n">
        <f aca="false">H73/1000*Scenarios!$G$35</f>
        <v>14058.9011150051</v>
      </c>
      <c r="I74" s="41" t="n">
        <f aca="false">I73/1000*Scenarios!$G$35</f>
        <v>11950.0659477543</v>
      </c>
      <c r="J74" s="41" t="n">
        <f aca="false">J73/1000*Scenarios!$G$35</f>
        <v>10157.5560555912</v>
      </c>
      <c r="K74" s="41" t="n">
        <f aca="false">K73/1000*Scenarios!$G$35</f>
        <v>8633.92264725249</v>
      </c>
      <c r="L74" s="41" t="n">
        <f aca="false">L73/1000*Scenarios!$G$35</f>
        <v>7338.83425016462</v>
      </c>
      <c r="M74" s="41" t="n">
        <f aca="false">M73/1000*Scenarios!$G$35</f>
        <v>6238.00911263993</v>
      </c>
      <c r="N74" s="41" t="n">
        <f aca="false">N73/1000*Scenarios!$G$35</f>
        <v>5302.30774574394</v>
      </c>
      <c r="O74" s="41" t="n">
        <f aca="false">O73/1000*Scenarios!$G$35</f>
        <v>4506.96158388235</v>
      </c>
      <c r="P74" s="41" t="n">
        <f aca="false">P73/1000*Scenarios!$G$35</f>
        <v>3830.91734629999</v>
      </c>
      <c r="Q74" s="41" t="n">
        <f aca="false">Q73/1000*Scenarios!$G$35</f>
        <v>3256.27974435499</v>
      </c>
      <c r="R74" s="41" t="n">
        <f aca="false">R73/1000*Scenarios!$G$35</f>
        <v>2767.83778270174</v>
      </c>
      <c r="S74" s="41" t="n">
        <f aca="false">S73/1000*Scenarios!$G$35</f>
        <v>2352.66211529648</v>
      </c>
      <c r="T74" s="41" t="n">
        <f aca="false">T73/1000*Scenarios!$G$35</f>
        <v>1999.76279800201</v>
      </c>
      <c r="U74" s="41" t="n">
        <f aca="false">U73/1000*Scenarios!$G$35</f>
        <v>1699.79837830171</v>
      </c>
      <c r="V74" s="41" t="n">
        <f aca="false">V73/1000*Scenarios!$G$35</f>
        <v>1444.82862155645</v>
      </c>
      <c r="W74" s="41" t="n">
        <f aca="false">W73/1000*Scenarios!$G$35</f>
        <v>1228.10432832298</v>
      </c>
      <c r="X74" s="41" t="n">
        <f aca="false">X73/1000*Scenarios!$G$35</f>
        <v>1043.88867907454</v>
      </c>
      <c r="Y74" s="41" t="n">
        <f aca="false">Y73/1000*Scenarios!$G$35</f>
        <v>887.305377213356</v>
      </c>
      <c r="Z74" s="41" t="n">
        <f aca="false">Z73/1000*Scenarios!$G$35</f>
        <v>754.209570631353</v>
      </c>
      <c r="AA74" s="41" t="n">
        <f aca="false">AA73/1000*Scenarios!$G$35</f>
        <v>641.07813503665</v>
      </c>
      <c r="AB74" s="41" t="n">
        <f aca="false">AB73/1000*Scenarios!$G$35</f>
        <v>544.916414781152</v>
      </c>
    </row>
    <row r="76" customFormat="false" ht="15" hidden="false" customHeight="false" outlineLevel="0" collapsed="false">
      <c r="B76" s="42" t="s">
        <v>200</v>
      </c>
      <c r="C76" s="42" t="s">
        <v>201</v>
      </c>
      <c r="D76" s="27" t="n">
        <f aca="false">$D$46+$D$52+$D$58+$D$64+$D$70</f>
        <v>11650000</v>
      </c>
      <c r="E76" s="27" t="n">
        <f aca="false">E46+E52+E58+E64+E70</f>
        <v>1521068.63420812</v>
      </c>
      <c r="F76" s="27" t="n">
        <f aca="false">F46+F52+F58+F64+F70</f>
        <v>1329416.40272457</v>
      </c>
      <c r="G76" s="27" t="n">
        <f aca="false">G46+G52+G58+G64+G70</f>
        <v>1162101.58898524</v>
      </c>
      <c r="H76" s="27" t="n">
        <f aca="false">H46+H52+H58+H64+H70</f>
        <v>1016008.16440788</v>
      </c>
      <c r="I76" s="27" t="n">
        <f aca="false">I46+I52+I58+I64+I70</f>
        <v>888422.477688597</v>
      </c>
      <c r="J76" s="27" t="n">
        <f aca="false">J46+J52+J58+J64+J70</f>
        <v>776980.838019345</v>
      </c>
      <c r="K76" s="27" t="n">
        <f aca="false">K46+K52+K58+K64+K70</f>
        <v>679623.987488721</v>
      </c>
      <c r="L76" s="27" t="n">
        <f aca="false">L46+L52+L58+L64+L70</f>
        <v>594557.549112803</v>
      </c>
      <c r="M76" s="27" t="n">
        <f aca="false">M46+M52+M58+M64+M70</f>
        <v>520217.659159115</v>
      </c>
      <c r="N76" s="27" t="n">
        <f aca="false">N46+N52+N58+N64+N70</f>
        <v>455241.098151302</v>
      </c>
      <c r="O76" s="27" t="n">
        <f aca="false">O46+O52+O58+O64+O70</f>
        <v>398439.326418781</v>
      </c>
      <c r="P76" s="27" t="n">
        <f aca="false">P46+P52+P58+P64+P70</f>
        <v>348775.909220783</v>
      </c>
      <c r="Q76" s="27" t="n">
        <f aca="false">Q46+Q52+Q58+Q64+Q70</f>
        <v>305346.884998745</v>
      </c>
      <c r="R76" s="27" t="n">
        <f aca="false">R46+R52+R58+R64+R70</f>
        <v>267363.689637297</v>
      </c>
      <c r="S76" s="27" t="n">
        <f aca="false">S46+S52+S58+S64+S70</f>
        <v>234138.300987465</v>
      </c>
      <c r="T76" s="27" t="n">
        <f aca="false">T46+T52+T58+T64+T70</f>
        <v>205070.312401307</v>
      </c>
      <c r="U76" s="27" t="n">
        <f aca="false">U46+U52+U58+U64+U70</f>
        <v>179635.682573854</v>
      </c>
      <c r="V76" s="27" t="n">
        <f aca="false">V46+V52+V58+V64+V70</f>
        <v>157376.94238808</v>
      </c>
      <c r="W76" s="27" t="n">
        <f aca="false">W46+W52+W58+W64+W70</f>
        <v>137894.668404947</v>
      </c>
      <c r="X76" s="27" t="n">
        <f aca="false">X46+X52+X58+X64+X70</f>
        <v>120840.057732222</v>
      </c>
      <c r="Y76" s="27" t="n">
        <f aca="false">Y46+Y52+Y58+Y64+Y70</f>
        <v>105908.46076073</v>
      </c>
      <c r="Z76" s="27" t="n">
        <f aca="false">Z46+Z52+Z58+Z64+Z70</f>
        <v>92833.7471224037</v>
      </c>
      <c r="AA76" s="27" t="n">
        <f aca="false">AA46+AA52+AA58+AA64+AA70</f>
        <v>81383.3965881138</v>
      </c>
      <c r="AB76" s="27" t="n">
        <f aca="false">AB46+AB52+AB58+AB64+AB70</f>
        <v>71354.2208195735</v>
      </c>
    </row>
    <row r="77" customFormat="false" ht="15" hidden="false" customHeight="false" outlineLevel="0" collapsed="false">
      <c r="B77" s="42" t="s">
        <v>200</v>
      </c>
      <c r="C77" s="42" t="s">
        <v>202</v>
      </c>
      <c r="D77" s="27" t="n">
        <f aca="false">$D$48+$D$54+$D$60+$D$66+$D$72</f>
        <v>15970795.3333333</v>
      </c>
      <c r="E77" s="27" t="n">
        <f aca="false">E48+E54+E60+E66+E72</f>
        <v>2060369.4902252</v>
      </c>
      <c r="F77" s="27" t="n">
        <f aca="false">F48+F54+F60+F66+F72</f>
        <v>1804591.97402312</v>
      </c>
      <c r="G77" s="27" t="n">
        <f aca="false">G48+G54+G60+G66+G72</f>
        <v>1580783.23803447</v>
      </c>
      <c r="H77" s="27" t="n">
        <f aca="false">H48+H54+H60+H66+H72</f>
        <v>1384918.58902315</v>
      </c>
      <c r="I77" s="27" t="n">
        <f aca="false">I48+I54+I60+I66+I72</f>
        <v>1213483.91177899</v>
      </c>
      <c r="J77" s="27" t="n">
        <f aca="false">J48+J54+J60+J66+J72</f>
        <v>1063410.37569698</v>
      </c>
      <c r="K77" s="27" t="n">
        <f aca="false">K48+K54+K60+K66+K72</f>
        <v>932017.560712617</v>
      </c>
      <c r="L77" s="27" t="n">
        <f aca="false">L48+L54+L60+L66+L72</f>
        <v>816963.907685438</v>
      </c>
      <c r="M77" s="27" t="n">
        <f aca="false">M48+M54+M60+M66+M72</f>
        <v>716203.541941544</v>
      </c>
      <c r="N77" s="27" t="n">
        <f aca="false">N48+N54+N60+N66+N72</f>
        <v>627948.643303616</v>
      </c>
      <c r="O77" s="27" t="n">
        <f aca="false">O48+O54+O60+O66+O72</f>
        <v>550636.644088535</v>
      </c>
      <c r="P77" s="27" t="n">
        <f aca="false">P48+P54+P60+P66+P72</f>
        <v>482901.630432959</v>
      </c>
      <c r="Q77" s="27" t="n">
        <f aca="false">Q48+Q54+Q60+Q66+Q72</f>
        <v>423549.403815192</v>
      </c>
      <c r="R77" s="27" t="n">
        <f aca="false">R48+R54+R60+R66+R72</f>
        <v>371535.730422048</v>
      </c>
      <c r="S77" s="27" t="n">
        <f aca="false">S48+S54+S60+S66+S72</f>
        <v>325947.367486159</v>
      </c>
      <c r="T77" s="27" t="n">
        <f aca="false">T48+T54+T60+T66+T72</f>
        <v>285985.50912575</v>
      </c>
      <c r="U77" s="27" t="n">
        <f aca="false">U48+U54+U60+U66+U72</f>
        <v>250951.340623817</v>
      </c>
      <c r="V77" s="27" t="n">
        <f aca="false">V48+V54+V60+V66+V72</f>
        <v>220233.430412708</v>
      </c>
      <c r="W77" s="27" t="n">
        <f aca="false">W48+W54+W60+W66+W72</f>
        <v>193296.724085731</v>
      </c>
      <c r="X77" s="27" t="n">
        <f aca="false">X48+X54+X60+X66+X72</f>
        <v>169672.935235073</v>
      </c>
      <c r="Y77" s="27" t="n">
        <f aca="false">Y48+Y54+Y60+Y66+Y72</f>
        <v>148952.15441797</v>
      </c>
      <c r="Z77" s="27" t="n">
        <f aca="false">Z48+Z54+Z60+Z66+Z72</f>
        <v>130775.52060371</v>
      </c>
      <c r="AA77" s="27" t="n">
        <f aca="false">AA48+AA54+AA60+AA66+AA72</f>
        <v>114828.819506049</v>
      </c>
      <c r="AB77" s="27" t="n">
        <f aca="false">AB48+AB54+AB60+AB66+AB72</f>
        <v>100836.890652519</v>
      </c>
    </row>
    <row r="78" customFormat="false" ht="15" hidden="false" customHeight="false" outlineLevel="0" collapsed="false">
      <c r="B78" s="42" t="s">
        <v>200</v>
      </c>
      <c r="C78" s="42" t="s">
        <v>203</v>
      </c>
      <c r="D78" s="27" t="n">
        <f aca="false">$D$49+$D$55+$D$61+$D$67+$D$73</f>
        <v>202236407.44</v>
      </c>
      <c r="E78" s="27" t="n">
        <f aca="false">E49+E55+E61+E67+E73</f>
        <v>26006983.5124117</v>
      </c>
      <c r="F78" s="27" t="n">
        <f aca="false">F49+F55+F61+F67+F73</f>
        <v>22791316.1357125</v>
      </c>
      <c r="G78" s="27" t="n">
        <f aca="false">G49+G55+G61+G67+G73</f>
        <v>19975835.6856321</v>
      </c>
      <c r="H78" s="27" t="n">
        <f aca="false">H49+H55+H61+H67+H73</f>
        <v>17510392.34669</v>
      </c>
      <c r="I78" s="27" t="n">
        <f aca="false">I49+I55+I61+I67+I73</f>
        <v>15351167.4495186</v>
      </c>
      <c r="J78" s="27" t="n">
        <f aca="false">J49+J55+J61+J67+J73</f>
        <v>13459867.954381</v>
      </c>
      <c r="K78" s="27" t="n">
        <f aca="false">K49+K55+K61+K67+K73</f>
        <v>11803024.256398</v>
      </c>
      <c r="L78" s="27" t="n">
        <f aca="false">L49+L55+L61+L67+L73</f>
        <v>10351377.9481772</v>
      </c>
      <c r="M78" s="27" t="n">
        <f aca="false">M49+M55+M61+M67+M73</f>
        <v>9079347.91899716</v>
      </c>
      <c r="N78" s="27" t="n">
        <f aca="false">N49+N55+N61+N67+N73</f>
        <v>7964564.68375494</v>
      </c>
      <c r="O78" s="27" t="n">
        <f aca="false">O49+O55+O61+O67+O73</f>
        <v>6987464.14996093</v>
      </c>
      <c r="P78" s="27" t="n">
        <f aca="false">P49+P55+P61+P67+P73</f>
        <v>6130933.17355656</v>
      </c>
      <c r="Q78" s="27" t="n">
        <f aca="false">Q49+Q55+Q61+Q67+Q73</f>
        <v>5380000.2470685</v>
      </c>
      <c r="R78" s="27" t="n">
        <f aca="false">R49+R55+R61+R67+R73</f>
        <v>4721565.52640373</v>
      </c>
      <c r="S78" s="27" t="n">
        <f aca="false">S49+S55+S61+S67+S73</f>
        <v>4144165.15258762</v>
      </c>
      <c r="T78" s="27" t="n">
        <f aca="false">T49+T55+T61+T67+T73</f>
        <v>3637765.47682524</v>
      </c>
      <c r="U78" s="27" t="n">
        <f aca="false">U49+U55+U61+U67+U73</f>
        <v>3193583.36431878</v>
      </c>
      <c r="V78" s="27" t="n">
        <f aca="false">V49+V55+V61+V67+V73</f>
        <v>2803929.24548461</v>
      </c>
      <c r="W78" s="27" t="n">
        <f aca="false">W49+W55+W61+W67+W73</f>
        <v>2462070.01227915</v>
      </c>
      <c r="X78" s="27" t="n">
        <f aca="false">X49+X55+X61+X67+X73</f>
        <v>2162109.23067919</v>
      </c>
      <c r="Y78" s="27" t="n">
        <f aca="false">Y49+Y55+Y61+Y67+Y73</f>
        <v>1898882.46526893</v>
      </c>
      <c r="Z78" s="27" t="n">
        <f aca="false">Z49+Z55+Z61+Z67+Z73</f>
        <v>1667865.79469957</v>
      </c>
      <c r="AA78" s="27" t="n">
        <f aca="false">AA49+AA55+AA61+AA67+AA73</f>
        <v>1465095.84300831</v>
      </c>
      <c r="AB78" s="27" t="n">
        <f aca="false">AB49+AB55+AB61+AB67+AB73</f>
        <v>1287099.86618566</v>
      </c>
    </row>
    <row r="79" customFormat="false" ht="15" hidden="false" customHeight="false" outlineLevel="0" collapsed="false">
      <c r="B79" s="42" t="s">
        <v>200</v>
      </c>
      <c r="C79" s="42" t="s">
        <v>204</v>
      </c>
      <c r="D79" s="34" t="n">
        <f aca="false">$D$50+$D$56+$D$62+$D$68+$D$74</f>
        <v>4828224.849035</v>
      </c>
      <c r="E79" s="34" t="n">
        <f aca="false">E50+E56+E62+E68+E74</f>
        <v>618015.323411994</v>
      </c>
      <c r="F79" s="34" t="n">
        <f aca="false">F50+F56+F62+F68+F74</f>
        <v>542043.633454664</v>
      </c>
      <c r="G79" s="34" t="n">
        <f aca="false">G50+G56+G62+G68+G74</f>
        <v>475467.333339888</v>
      </c>
      <c r="H79" s="34" t="n">
        <f aca="false">H50+H56+H62+H68+H74</f>
        <v>417116.931812661</v>
      </c>
      <c r="I79" s="34" t="n">
        <f aca="false">I50+I56+I62+I68+I74</f>
        <v>365969.526550806</v>
      </c>
      <c r="J79" s="34" t="n">
        <f aca="false">J50+J56+J62+J68+J74</f>
        <v>321130.293679927</v>
      </c>
      <c r="K79" s="34" t="n">
        <f aca="false">K50+K56+K62+K68+K74</f>
        <v>281816.332975086</v>
      </c>
      <c r="L79" s="34" t="n">
        <f aca="false">L50+L56+L62+L68+L74</f>
        <v>247342.566514558</v>
      </c>
      <c r="M79" s="34" t="n">
        <f aca="false">M50+M56+M62+M68+M74</f>
        <v>217109.427653866</v>
      </c>
      <c r="N79" s="34" t="n">
        <f aca="false">N50+N56+N62+N68+N74</f>
        <v>190592.111188648</v>
      </c>
      <c r="O79" s="34" t="n">
        <f aca="false">O50+O56+O62+O68+O74</f>
        <v>167331.185144386</v>
      </c>
      <c r="P79" s="34" t="n">
        <f aca="false">P50+P56+P62+P68+P74</f>
        <v>146924.390351965</v>
      </c>
      <c r="Q79" s="34" t="n">
        <f aca="false">Q50+Q56+Q62+Q68+Q74</f>
        <v>129019.476345746</v>
      </c>
      <c r="R79" s="34" t="n">
        <f aca="false">R50+R56+R62+R68+R74</f>
        <v>113307.941593499</v>
      </c>
      <c r="S79" s="34" t="n">
        <f aca="false">S50+S56+S62+S68+S74</f>
        <v>99519.5630156889</v>
      </c>
      <c r="T79" s="34" t="n">
        <f aca="false">T50+T56+T62+T68+T74</f>
        <v>87417.6145051665</v>
      </c>
      <c r="U79" s="34" t="n">
        <f aca="false">U50+U56+U62+U68+U74</f>
        <v>76794.6870040127</v>
      </c>
      <c r="V79" s="34" t="n">
        <f aca="false">V50+V56+V62+V68+V74</f>
        <v>67469.0338809152</v>
      </c>
      <c r="W79" s="34" t="n">
        <f aca="false">W50+W56+W62+W68+W74</f>
        <v>59281.3750960728</v>
      </c>
      <c r="X79" s="34" t="n">
        <f aca="false">X50+X56+X62+X68+X74</f>
        <v>52092.1021290141</v>
      </c>
      <c r="Y79" s="34" t="n">
        <f aca="false">Y50+Y56+Y62+Y68+Y74</f>
        <v>45778.8330409106</v>
      </c>
      <c r="Z79" s="34" t="n">
        <f aca="false">Z50+Z56+Z62+Z68+Z74</f>
        <v>40234.2734886976</v>
      </c>
      <c r="AA79" s="34" t="n">
        <f aca="false">AA50+AA56+AA62+AA68+AA74</f>
        <v>35364.3451267517</v>
      </c>
      <c r="AB79" s="34" t="n">
        <f aca="false">AB50+AB56+AB62+AB68+AB74</f>
        <v>31086.5477300786</v>
      </c>
    </row>
    <row r="80" customFormat="false" ht="15" hidden="false" customHeight="false" outlineLevel="0" collapsed="false">
      <c r="C80" s="9" t="s">
        <v>205</v>
      </c>
      <c r="D80" s="27" t="n">
        <f aca="false">AB80</f>
        <v>15970795.3333333</v>
      </c>
      <c r="E80" s="40" t="n">
        <f aca="false">SUM(E77:E77)</f>
        <v>2060369.4902252</v>
      </c>
      <c r="F80" s="40" t="n">
        <f aca="false">SUM(E77:F77)</f>
        <v>3864961.46424832</v>
      </c>
      <c r="G80" s="40" t="n">
        <f aca="false">SUM(E77:G77)</f>
        <v>5445744.70228279</v>
      </c>
      <c r="H80" s="40" t="n">
        <f aca="false">SUM(E77:H77)</f>
        <v>6830663.29130593</v>
      </c>
      <c r="I80" s="40" t="n">
        <f aca="false">SUM(E77:I77)</f>
        <v>8044147.20308492</v>
      </c>
      <c r="J80" s="40" t="n">
        <f aca="false">SUM(E77:J77)</f>
        <v>9107557.5787819</v>
      </c>
      <c r="K80" s="40" t="n">
        <f aca="false">SUM(E77:K77)</f>
        <v>10039575.1394945</v>
      </c>
      <c r="L80" s="40" t="n">
        <f aca="false">SUM(E77:L77)</f>
        <v>10856539.04718</v>
      </c>
      <c r="M80" s="40" t="n">
        <f aca="false">SUM(E77:M77)</f>
        <v>11572742.5891215</v>
      </c>
      <c r="N80" s="40" t="n">
        <f aca="false">SUM(E77:N77)</f>
        <v>12200691.2324251</v>
      </c>
      <c r="O80" s="40" t="n">
        <f aca="false">SUM(E77:O77)</f>
        <v>12751327.8765136</v>
      </c>
      <c r="P80" s="40" t="n">
        <f aca="false">SUM(E77:P77)</f>
        <v>13234229.5069466</v>
      </c>
      <c r="Q80" s="40" t="n">
        <f aca="false">SUM(E77:Q77)</f>
        <v>13657778.9107618</v>
      </c>
      <c r="R80" s="40" t="n">
        <f aca="false">SUM(E77:R77)</f>
        <v>14029314.6411838</v>
      </c>
      <c r="S80" s="40" t="n">
        <f aca="false">SUM(E77:S77)</f>
        <v>14355262.00867</v>
      </c>
      <c r="T80" s="40" t="n">
        <f aca="false">SUM(E77:T77)</f>
        <v>14641247.5177958</v>
      </c>
      <c r="U80" s="40" t="n">
        <f aca="false">SUM(E77:U77)</f>
        <v>14892198.8584196</v>
      </c>
      <c r="V80" s="40" t="n">
        <f aca="false">SUM(E77:V77)</f>
        <v>15112432.2888323</v>
      </c>
      <c r="W80" s="40" t="n">
        <f aca="false">SUM(E77:W77)</f>
        <v>15305729.012918</v>
      </c>
      <c r="X80" s="40" t="n">
        <f aca="false">SUM(E77:X77)</f>
        <v>15475401.9481531</v>
      </c>
      <c r="Y80" s="40" t="n">
        <f aca="false">SUM(E77:Y77)</f>
        <v>15624354.1025711</v>
      </c>
      <c r="Z80" s="40" t="n">
        <f aca="false">SUM(E77:Z77)</f>
        <v>15755129.6231748</v>
      </c>
      <c r="AA80" s="40" t="n">
        <f aca="false">SUM(E77:AA77)</f>
        <v>15869958.4426808</v>
      </c>
      <c r="AB80" s="40" t="n">
        <f aca="false">SUM(E77:AB77)</f>
        <v>15970795.3333333</v>
      </c>
    </row>
    <row r="81" customFormat="false" ht="15" hidden="false" customHeight="false" outlineLevel="0" collapsed="false">
      <c r="C81" s="9" t="s">
        <v>206</v>
      </c>
      <c r="D81" s="34" t="n">
        <f aca="false">AB81</f>
        <v>4828224.849035</v>
      </c>
      <c r="E81" s="41" t="n">
        <f aca="false">SUM(E79:E79)</f>
        <v>618015.323411994</v>
      </c>
      <c r="F81" s="41" t="n">
        <f aca="false">SUM(E79:F79)</f>
        <v>1160058.95686666</v>
      </c>
      <c r="G81" s="41" t="n">
        <f aca="false">SUM(E79:G79)</f>
        <v>1635526.29020655</v>
      </c>
      <c r="H81" s="41" t="n">
        <f aca="false">SUM(E79:H79)</f>
        <v>2052643.22201921</v>
      </c>
      <c r="I81" s="41" t="n">
        <f aca="false">SUM(E79:I79)</f>
        <v>2418612.74857001</v>
      </c>
      <c r="J81" s="41" t="n">
        <f aca="false">SUM(E79:J79)</f>
        <v>2739743.04224994</v>
      </c>
      <c r="K81" s="41" t="n">
        <f aca="false">SUM(E79:K79)</f>
        <v>3021559.37522502</v>
      </c>
      <c r="L81" s="41" t="n">
        <f aca="false">SUM(E79:L79)</f>
        <v>3268901.94173958</v>
      </c>
      <c r="M81" s="41" t="n">
        <f aca="false">SUM(E79:M79)</f>
        <v>3486011.36939345</v>
      </c>
      <c r="N81" s="41" t="n">
        <f aca="false">SUM(E79:N79)</f>
        <v>3676603.4805821</v>
      </c>
      <c r="O81" s="41" t="n">
        <f aca="false">SUM(E79:O79)</f>
        <v>3843934.66572648</v>
      </c>
      <c r="P81" s="41" t="n">
        <f aca="false">SUM(E79:P79)</f>
        <v>3990859.05607845</v>
      </c>
      <c r="Q81" s="41" t="n">
        <f aca="false">SUM(E79:Q79)</f>
        <v>4119878.53242419</v>
      </c>
      <c r="R81" s="41" t="n">
        <f aca="false">SUM(E79:R79)</f>
        <v>4233186.47401769</v>
      </c>
      <c r="S81" s="41" t="n">
        <f aca="false">SUM(E79:S79)</f>
        <v>4332706.03703338</v>
      </c>
      <c r="T81" s="41" t="n">
        <f aca="false">SUM(E79:T79)</f>
        <v>4420123.65153855</v>
      </c>
      <c r="U81" s="41" t="n">
        <f aca="false">SUM(E79:U79)</f>
        <v>4496918.33854256</v>
      </c>
      <c r="V81" s="41" t="n">
        <f aca="false">SUM(E79:V79)</f>
        <v>4564387.37242348</v>
      </c>
      <c r="W81" s="41" t="n">
        <f aca="false">SUM(E79:W79)</f>
        <v>4623668.74751955</v>
      </c>
      <c r="X81" s="41" t="n">
        <f aca="false">SUM(E79:X79)</f>
        <v>4675760.84964856</v>
      </c>
      <c r="Y81" s="41" t="n">
        <f aca="false">SUM(E79:Y79)</f>
        <v>4721539.68268947</v>
      </c>
      <c r="Z81" s="41" t="n">
        <f aca="false">SUM(E79:Z79)</f>
        <v>4761773.95617817</v>
      </c>
      <c r="AA81" s="41" t="n">
        <f aca="false">SUM(E79:AA79)</f>
        <v>4797138.30130492</v>
      </c>
      <c r="AB81" s="41" t="n">
        <f aca="false">SUM(E79:AB79)</f>
        <v>4828224.849035</v>
      </c>
    </row>
    <row r="84" customFormat="false" ht="15" hidden="false" customHeight="false" outlineLevel="0" collapsed="false">
      <c r="A84" s="38" t="s">
        <v>209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</row>
    <row r="85" customFormat="false" ht="15" hidden="false" customHeight="false" outlineLevel="0" collapsed="false">
      <c r="A85" s="14" t="s">
        <v>210</v>
      </c>
      <c r="B85" s="8" t="s">
        <v>122</v>
      </c>
      <c r="C85" s="9" t="s">
        <v>195</v>
      </c>
      <c r="D85" s="27" t="n">
        <f aca="false">SUM(E85:AB85)</f>
        <v>3969322.3692133</v>
      </c>
      <c r="E85" s="40" t="n">
        <f aca="false">Scenarios!$C$41*(1-Scenarios!$C$40)^(E$4-1)</f>
        <v>454795.657479107</v>
      </c>
      <c r="F85" s="40" t="n">
        <f aca="false">Scenarios!$C$41*(1-Scenarios!$C$40)^(F$4-1)</f>
        <v>406132.522128842</v>
      </c>
      <c r="G85" s="40" t="n">
        <f aca="false">Scenarios!$C$41*(1-Scenarios!$C$40)^(G$4-1)</f>
        <v>362676.342261056</v>
      </c>
      <c r="H85" s="40" t="n">
        <f aca="false">Scenarios!$C$41*(1-Scenarios!$C$40)^(H$4-1)</f>
        <v>323869.973639123</v>
      </c>
      <c r="I85" s="40" t="n">
        <f aca="false">Scenarios!$C$41*(1-Scenarios!$C$40)^(I$4-1)</f>
        <v>289215.886459737</v>
      </c>
      <c r="J85" s="40" t="n">
        <f aca="false">Scenarios!$C$41*(1-Scenarios!$C$40)^(J$4-1)</f>
        <v>258269.786608545</v>
      </c>
      <c r="K85" s="40" t="n">
        <f aca="false">Scenarios!$C$41*(1-Scenarios!$C$40)^(K$4-1)</f>
        <v>230634.919441431</v>
      </c>
      <c r="L85" s="40" t="n">
        <f aca="false">Scenarios!$C$41*(1-Scenarios!$C$40)^(L$4-1)</f>
        <v>205956.983061198</v>
      </c>
      <c r="M85" s="40" t="n">
        <f aca="false">Scenarios!$C$41*(1-Scenarios!$C$40)^(M$4-1)</f>
        <v>183919.58587365</v>
      </c>
      <c r="N85" s="40" t="n">
        <f aca="false">Scenarios!$C$41*(1-Scenarios!$C$40)^(N$4-1)</f>
        <v>164240.190185169</v>
      </c>
      <c r="O85" s="40" t="n">
        <f aca="false">Scenarios!$C$41*(1-Scenarios!$C$40)^(O$4-1)</f>
        <v>146666.489835356</v>
      </c>
      <c r="P85" s="40" t="n">
        <f aca="false">Scenarios!$C$41*(1-Scenarios!$C$40)^(P$4-1)</f>
        <v>130973.175422973</v>
      </c>
      <c r="Q85" s="40" t="n">
        <f aca="false">Scenarios!$C$41*(1-Scenarios!$C$40)^(Q$4-1)</f>
        <v>116959.045652715</v>
      </c>
      <c r="R85" s="40" t="n">
        <f aca="false">Scenarios!$C$41*(1-Scenarios!$C$40)^(R$4-1)</f>
        <v>104444.427767874</v>
      </c>
      <c r="S85" s="40" t="n">
        <f aca="false">Scenarios!$C$41*(1-Scenarios!$C$40)^(S$4-1)</f>
        <v>93268.8739967117</v>
      </c>
      <c r="T85" s="40" t="n">
        <f aca="false">Scenarios!$C$41*(1-Scenarios!$C$40)^(T$4-1)</f>
        <v>83289.1044790636</v>
      </c>
      <c r="U85" s="40" t="n">
        <f aca="false">Scenarios!$C$41*(1-Scenarios!$C$40)^(U$4-1)</f>
        <v>74377.1702998038</v>
      </c>
      <c r="V85" s="40" t="n">
        <f aca="false">Scenarios!$C$41*(1-Scenarios!$C$40)^(V$4-1)</f>
        <v>66418.8130777248</v>
      </c>
      <c r="W85" s="40" t="n">
        <f aca="false">Scenarios!$C$41*(1-Scenarios!$C$40)^(W$4-1)</f>
        <v>59312.0000784082</v>
      </c>
      <c r="X85" s="40" t="n">
        <f aca="false">Scenarios!$C$41*(1-Scenarios!$C$40)^(X$4-1)</f>
        <v>52965.6160700185</v>
      </c>
      <c r="Y85" s="40" t="n">
        <f aca="false">Scenarios!$C$41*(1-Scenarios!$C$40)^(Y$4-1)</f>
        <v>47298.2951505266</v>
      </c>
      <c r="Z85" s="40" t="n">
        <f aca="false">Scenarios!$C$41*(1-Scenarios!$C$40)^(Z$4-1)</f>
        <v>42237.3775694202</v>
      </c>
      <c r="AA85" s="40" t="n">
        <f aca="false">Scenarios!$C$41*(1-Scenarios!$C$40)^(AA$4-1)</f>
        <v>37717.9781694923</v>
      </c>
      <c r="AB85" s="40" t="n">
        <f aca="false">Scenarios!$C$41*(1-Scenarios!$C$40)^(AB$4-1)</f>
        <v>33682.1545053566</v>
      </c>
    </row>
    <row r="86" customFormat="false" ht="15" hidden="false" customHeight="false" outlineLevel="0" collapsed="false">
      <c r="A86" s="14"/>
      <c r="B86" s="9"/>
      <c r="C86" s="9" t="s">
        <v>196</v>
      </c>
      <c r="D86" s="36" t="n">
        <f aca="false">SUM(E86:AB86)</f>
        <v>1</v>
      </c>
      <c r="E86" s="21" t="n">
        <f aca="false">E85/$D$85</f>
        <v>0.114577657135277</v>
      </c>
      <c r="F86" s="21" t="n">
        <f aca="false">F85/$D$85</f>
        <v>0.102317847821802</v>
      </c>
      <c r="G86" s="21" t="n">
        <f aca="false">G85/$D$85</f>
        <v>0.0913698381048694</v>
      </c>
      <c r="H86" s="21" t="n">
        <f aca="false">H85/$D$85</f>
        <v>0.0815932654276484</v>
      </c>
      <c r="I86" s="21" t="n">
        <f aca="false">I85/$D$85</f>
        <v>0.07286278602689</v>
      </c>
      <c r="J86" s="21" t="n">
        <f aca="false">J85/$D$85</f>
        <v>0.0650664679220128</v>
      </c>
      <c r="K86" s="21" t="n">
        <f aca="false">K85/$D$85</f>
        <v>0.0581043558543574</v>
      </c>
      <c r="L86" s="21" t="n">
        <f aca="false">L85/$D$85</f>
        <v>0.0518871897779412</v>
      </c>
      <c r="M86" s="21" t="n">
        <f aca="false">M85/$D$85</f>
        <v>0.0463352604717015</v>
      </c>
      <c r="N86" s="21" t="n">
        <f aca="false">N85/$D$85</f>
        <v>0.0413773876012294</v>
      </c>
      <c r="O86" s="21" t="n">
        <f aca="false">O85/$D$85</f>
        <v>0.0369500071278979</v>
      </c>
      <c r="P86" s="21" t="n">
        <f aca="false">P85/$D$85</f>
        <v>0.0329963563652128</v>
      </c>
      <c r="Q86" s="21" t="n">
        <f aca="false">Q85/$D$85</f>
        <v>0.029465746234135</v>
      </c>
      <c r="R86" s="21" t="n">
        <f aca="false">R85/$D$85</f>
        <v>0.0263129113870826</v>
      </c>
      <c r="S86" s="21" t="n">
        <f aca="false">S85/$D$85</f>
        <v>0.0234974298686647</v>
      </c>
      <c r="T86" s="21" t="n">
        <f aca="false">T85/$D$85</f>
        <v>0.0209832048727176</v>
      </c>
      <c r="U86" s="21" t="n">
        <f aca="false">U85/$D$85</f>
        <v>0.0187380019513368</v>
      </c>
      <c r="V86" s="21" t="n">
        <f aca="false">V85/$D$85</f>
        <v>0.0167330357425438</v>
      </c>
      <c r="W86" s="21" t="n">
        <f aca="false">W85/$D$85</f>
        <v>0.0149426009180916</v>
      </c>
      <c r="X86" s="21" t="n">
        <f aca="false">X85/$D$85</f>
        <v>0.0133437426198558</v>
      </c>
      <c r="Y86" s="21" t="n">
        <f aca="false">Y85/$D$85</f>
        <v>0.0119159621595312</v>
      </c>
      <c r="Z86" s="21" t="n">
        <f aca="false">Z85/$D$85</f>
        <v>0.0106409542084614</v>
      </c>
      <c r="AA86" s="21" t="n">
        <f aca="false">AA85/$D$85</f>
        <v>0.00950237210815602</v>
      </c>
      <c r="AB86" s="21" t="n">
        <f aca="false">AB85/$D$85</f>
        <v>0.00848561829258333</v>
      </c>
    </row>
    <row r="87" customFormat="false" ht="15" hidden="false" customHeight="false" outlineLevel="0" collapsed="false">
      <c r="A87" s="14"/>
      <c r="B87" s="9"/>
      <c r="C87" s="9" t="s">
        <v>197</v>
      </c>
      <c r="D87" s="27" t="n">
        <f aca="false">SUM(E87:AB87)</f>
        <v>6624767.27963805</v>
      </c>
      <c r="E87" s="40" t="n">
        <f aca="false">E85*'Title Inputs'!$C$16*'Title Inputs'!$C$11*Scenarios!$C$42/60</f>
        <v>759050.313967369</v>
      </c>
      <c r="F87" s="40" t="n">
        <f aca="false">F85*'Title Inputs'!$C$16*'Title Inputs'!$C$11*Scenarios!$C$42/60</f>
        <v>677831.930372861</v>
      </c>
      <c r="G87" s="40" t="n">
        <f aca="false">G85*'Title Inputs'!$C$16*'Title Inputs'!$C$11*Scenarios!$C$42/60</f>
        <v>605303.913822965</v>
      </c>
      <c r="H87" s="40" t="n">
        <f aca="false">H85*'Title Inputs'!$C$16*'Title Inputs'!$C$11*Scenarios!$C$42/60</f>
        <v>540536.395043907</v>
      </c>
      <c r="I87" s="40" t="n">
        <f aca="false">I85*'Title Inputs'!$C$16*'Title Inputs'!$C$11*Scenarios!$C$42/60</f>
        <v>482699.000774209</v>
      </c>
      <c r="J87" s="40" t="n">
        <f aca="false">J85*'Title Inputs'!$C$16*'Title Inputs'!$C$11*Scenarios!$C$42/60</f>
        <v>431050.207691369</v>
      </c>
      <c r="K87" s="40" t="n">
        <f aca="false">K85*'Title Inputs'!$C$16*'Title Inputs'!$C$11*Scenarios!$C$42/60</f>
        <v>384927.835468392</v>
      </c>
      <c r="L87" s="40" t="n">
        <f aca="false">L85*'Title Inputs'!$C$16*'Title Inputs'!$C$11*Scenarios!$C$42/60</f>
        <v>343740.557073274</v>
      </c>
      <c r="M87" s="40" t="n">
        <f aca="false">M85*'Title Inputs'!$C$16*'Title Inputs'!$C$11*Scenarios!$C$42/60</f>
        <v>306960.317466434</v>
      </c>
      <c r="N87" s="40" t="n">
        <f aca="false">N85*'Title Inputs'!$C$16*'Title Inputs'!$C$11*Scenarios!$C$42/60</f>
        <v>274115.563497526</v>
      </c>
      <c r="O87" s="40" t="n">
        <f aca="false">O85*'Title Inputs'!$C$16*'Title Inputs'!$C$11*Scenarios!$C$42/60</f>
        <v>244785.19820329</v>
      </c>
      <c r="P87" s="40" t="n">
        <f aca="false">P85*'Title Inputs'!$C$16*'Title Inputs'!$C$11*Scenarios!$C$42/60</f>
        <v>218593.181995538</v>
      </c>
      <c r="Q87" s="40" t="n">
        <f aca="false">Q85*'Title Inputs'!$C$16*'Title Inputs'!$C$11*Scenarios!$C$42/60</f>
        <v>195203.711522016</v>
      </c>
      <c r="R87" s="40" t="n">
        <f aca="false">R85*'Title Inputs'!$C$16*'Title Inputs'!$C$11*Scenarios!$C$42/60</f>
        <v>174316.91438916</v>
      </c>
      <c r="S87" s="40" t="n">
        <f aca="false">S85*'Title Inputs'!$C$16*'Title Inputs'!$C$11*Scenarios!$C$42/60</f>
        <v>155665.00454952</v>
      </c>
      <c r="T87" s="40" t="n">
        <f aca="false">T85*'Title Inputs'!$C$16*'Title Inputs'!$C$11*Scenarios!$C$42/60</f>
        <v>139008.849062721</v>
      </c>
      <c r="U87" s="40" t="n">
        <f aca="false">U85*'Title Inputs'!$C$16*'Title Inputs'!$C$11*Scenarios!$C$42/60</f>
        <v>124134.90221301</v>
      </c>
      <c r="V87" s="40" t="n">
        <f aca="false">V85*'Title Inputs'!$C$16*'Title Inputs'!$C$11*Scenarios!$C$42/60</f>
        <v>110852.467676218</v>
      </c>
      <c r="W87" s="40" t="n">
        <f aca="false">W85*'Title Inputs'!$C$16*'Title Inputs'!$C$11*Scenarios!$C$42/60</f>
        <v>98991.2536348627</v>
      </c>
      <c r="X87" s="40" t="n">
        <f aca="false">X85*'Title Inputs'!$C$16*'Title Inputs'!$C$11*Scenarios!$C$42/60</f>
        <v>88399.1894959324</v>
      </c>
      <c r="Y87" s="40" t="n">
        <f aca="false">Y85*'Title Inputs'!$C$16*'Title Inputs'!$C$11*Scenarios!$C$42/60</f>
        <v>78940.4762198676</v>
      </c>
      <c r="Z87" s="40" t="n">
        <f aca="false">Z85*'Title Inputs'!$C$16*'Title Inputs'!$C$11*Scenarios!$C$42/60</f>
        <v>70493.8452643418</v>
      </c>
      <c r="AA87" s="40" t="n">
        <f aca="false">AA85*'Title Inputs'!$C$16*'Title Inputs'!$C$11*Scenarios!$C$42/60</f>
        <v>62951.0038210572</v>
      </c>
      <c r="AB87" s="40" t="n">
        <f aca="false">AB85*'Title Inputs'!$C$16*'Title Inputs'!$C$11*Scenarios!$C$42/60</f>
        <v>56215.2464122041</v>
      </c>
    </row>
    <row r="88" customFormat="false" ht="15" hidden="false" customHeight="false" outlineLevel="0" collapsed="false">
      <c r="A88" s="14"/>
      <c r="B88" s="9"/>
      <c r="C88" s="9" t="s">
        <v>198</v>
      </c>
      <c r="D88" s="27" t="n">
        <f aca="false">SUM(E88:AB88)</f>
        <v>88655285.6430282</v>
      </c>
      <c r="E88" s="40" t="n">
        <f aca="false">E87*'Title Inputs'!$C$24*Scenarios!$C$43</f>
        <v>10157914.9216369</v>
      </c>
      <c r="F88" s="40" t="n">
        <f aca="false">F87*'Title Inputs'!$C$24*Scenarios!$C$43</f>
        <v>9071018.02502177</v>
      </c>
      <c r="G88" s="40" t="n">
        <f aca="false">G87*'Title Inputs'!$C$24*Scenarios!$C$43</f>
        <v>8100419.09634444</v>
      </c>
      <c r="H88" s="40" t="n">
        <f aca="false">H87*'Title Inputs'!$C$24*Scenarios!$C$43</f>
        <v>7233674.25303558</v>
      </c>
      <c r="I88" s="40" t="n">
        <f aca="false">I87*'Title Inputs'!$C$24*Scenarios!$C$43</f>
        <v>6459671.10796078</v>
      </c>
      <c r="J88" s="40" t="n">
        <f aca="false">J87*'Title Inputs'!$C$24*Scenarios!$C$43</f>
        <v>5768486.29940897</v>
      </c>
      <c r="K88" s="40" t="n">
        <f aca="false">K87*'Title Inputs'!$C$24*Scenarios!$C$43</f>
        <v>5151258.26537222</v>
      </c>
      <c r="L88" s="40" t="n">
        <f aca="false">L87*'Title Inputs'!$C$24*Scenarios!$C$43</f>
        <v>4600073.63097739</v>
      </c>
      <c r="M88" s="40" t="n">
        <f aca="false">M87*'Title Inputs'!$C$24*Scenarios!$C$43</f>
        <v>4107865.75246281</v>
      </c>
      <c r="N88" s="40" t="n">
        <f aca="false">N87*'Title Inputs'!$C$24*Scenarios!$C$43</f>
        <v>3668324.11694929</v>
      </c>
      <c r="O88" s="40" t="n">
        <f aca="false">O87*'Title Inputs'!$C$24*Scenarios!$C$43</f>
        <v>3275813.43643571</v>
      </c>
      <c r="P88" s="40" t="n">
        <f aca="false">P87*'Title Inputs'!$C$24*Scenarios!$C$43</f>
        <v>2925301.39873709</v>
      </c>
      <c r="Q88" s="40" t="n">
        <f aca="false">Q87*'Title Inputs'!$C$24*Scenarios!$C$43</f>
        <v>2612294.14907222</v>
      </c>
      <c r="R88" s="40" t="n">
        <f aca="false">R87*'Title Inputs'!$C$24*Scenarios!$C$43</f>
        <v>2332778.6751215</v>
      </c>
      <c r="S88" s="40" t="n">
        <f aca="false">S87*'Title Inputs'!$C$24*Scenarios!$C$43</f>
        <v>2083171.3568835</v>
      </c>
      <c r="T88" s="40" t="n">
        <f aca="false">T87*'Title Inputs'!$C$24*Scenarios!$C$43</f>
        <v>1860272.02169696</v>
      </c>
      <c r="U88" s="40" t="n">
        <f aca="false">U87*'Title Inputs'!$C$24*Scenarios!$C$43</f>
        <v>1661222.91537539</v>
      </c>
      <c r="V88" s="40" t="n">
        <f aca="false">V87*'Title Inputs'!$C$24*Scenarios!$C$43</f>
        <v>1483472.06343022</v>
      </c>
      <c r="W88" s="40" t="n">
        <f aca="false">W87*'Title Inputs'!$C$24*Scenarios!$C$43</f>
        <v>1324740.55264319</v>
      </c>
      <c r="X88" s="40" t="n">
        <f aca="false">X87*'Title Inputs'!$C$24*Scenarios!$C$43</f>
        <v>1182993.31351037</v>
      </c>
      <c r="Y88" s="40" t="n">
        <f aca="false">Y87*'Title Inputs'!$C$24*Scenarios!$C$43</f>
        <v>1056413.02896476</v>
      </c>
      <c r="Z88" s="40" t="n">
        <f aca="false">Z87*'Title Inputs'!$C$24*Scenarios!$C$43</f>
        <v>943376.834865528</v>
      </c>
      <c r="AA88" s="40" t="n">
        <f aca="false">AA87*'Title Inputs'!$C$24*Scenarios!$C$43</f>
        <v>842435.513534916</v>
      </c>
      <c r="AB88" s="40" t="n">
        <f aca="false">AB87*'Title Inputs'!$C$24*Scenarios!$C$43</f>
        <v>752294.91358668</v>
      </c>
    </row>
    <row r="89" customFormat="false" ht="15" hidden="false" customHeight="false" outlineLevel="0" collapsed="false">
      <c r="A89" s="14"/>
      <c r="B89" s="9"/>
      <c r="C89" s="9" t="s">
        <v>199</v>
      </c>
      <c r="D89" s="34" t="n">
        <f aca="false">SUM(E89:AB89)</f>
        <v>2339834.62633362</v>
      </c>
      <c r="E89" s="41" t="n">
        <f aca="false">E88/1000*Scenarios!$C$44</f>
        <v>268092.769569302</v>
      </c>
      <c r="F89" s="41" t="n">
        <f aca="false">F88/1000*Scenarios!$C$44</f>
        <v>239406.843225387</v>
      </c>
      <c r="G89" s="41" t="n">
        <f aca="false">G88/1000*Scenarios!$C$44</f>
        <v>213790.311000271</v>
      </c>
      <c r="H89" s="41" t="n">
        <f aca="false">H88/1000*Scenarios!$C$44</f>
        <v>190914.747723242</v>
      </c>
      <c r="I89" s="41" t="n">
        <f aca="false">I88/1000*Scenarios!$C$44</f>
        <v>170486.869716855</v>
      </c>
      <c r="J89" s="41" t="n">
        <f aca="false">J88/1000*Scenarios!$C$44</f>
        <v>152244.774657151</v>
      </c>
      <c r="K89" s="41" t="n">
        <f aca="false">K88/1000*Scenarios!$C$44</f>
        <v>135954.583768836</v>
      </c>
      <c r="L89" s="41" t="n">
        <f aca="false">L88/1000*Scenarios!$C$44</f>
        <v>121407.443305571</v>
      </c>
      <c r="M89" s="41" t="n">
        <f aca="false">M88/1000*Scenarios!$C$44</f>
        <v>108416.846871875</v>
      </c>
      <c r="N89" s="41" t="n">
        <f aca="false">N88/1000*Scenarios!$C$44</f>
        <v>96816.244256584</v>
      </c>
      <c r="O89" s="41" t="n">
        <f aca="false">O88/1000*Scenarios!$C$44</f>
        <v>86456.9061211296</v>
      </c>
      <c r="P89" s="41" t="n">
        <f aca="false">P88/1000*Scenarios!$C$44</f>
        <v>77206.0171661687</v>
      </c>
      <c r="Q89" s="41" t="n">
        <f aca="false">Q88/1000*Scenarios!$C$44</f>
        <v>68944.9733293886</v>
      </c>
      <c r="R89" s="41" t="n">
        <f aca="false">R88/1000*Scenarios!$C$44</f>
        <v>61567.8611831441</v>
      </c>
      <c r="S89" s="41" t="n">
        <f aca="false">S88/1000*Scenarios!$C$44</f>
        <v>54980.1000365476</v>
      </c>
      <c r="T89" s="41" t="n">
        <f aca="false">T88/1000*Scenarios!$C$44</f>
        <v>49097.2293326371</v>
      </c>
      <c r="U89" s="41" t="n">
        <f aca="false">U88/1000*Scenarios!$C$44</f>
        <v>43843.8257940449</v>
      </c>
      <c r="V89" s="41" t="n">
        <f aca="false">V88/1000*Scenarios!$C$44</f>
        <v>39152.5364340821</v>
      </c>
      <c r="W89" s="41" t="n">
        <f aca="false">W88/1000*Scenarios!$C$44</f>
        <v>34963.2150356353</v>
      </c>
      <c r="X89" s="41" t="n">
        <f aca="false">X88/1000*Scenarios!$C$44</f>
        <v>31222.1510268223</v>
      </c>
      <c r="Y89" s="41" t="n">
        <f aca="false">Y88/1000*Scenarios!$C$44</f>
        <v>27881.3808669523</v>
      </c>
      <c r="Z89" s="41" t="n">
        <f aca="false">Z88/1000*Scenarios!$C$44</f>
        <v>24898.0731141884</v>
      </c>
      <c r="AA89" s="41" t="n">
        <f aca="false">AA88/1000*Scenarios!$C$44</f>
        <v>22233.9792909703</v>
      </c>
      <c r="AB89" s="41" t="n">
        <f aca="false">AB88/1000*Scenarios!$C$44</f>
        <v>19854.9435068365</v>
      </c>
    </row>
    <row r="91" customFormat="false" ht="15" hidden="false" customHeight="false" outlineLevel="0" collapsed="false">
      <c r="A91" s="14" t="s">
        <v>210</v>
      </c>
      <c r="B91" s="8" t="s">
        <v>123</v>
      </c>
      <c r="C91" s="9" t="s">
        <v>195</v>
      </c>
      <c r="D91" s="27" t="n">
        <f aca="false">SUM(E91:AB91)</f>
        <v>3358352.08346018</v>
      </c>
      <c r="E91" s="40" t="n">
        <f aca="false">Scenarios!$D$41*(1-Scenarios!$D$40)^(E$4-1)</f>
        <v>399208.817899623</v>
      </c>
      <c r="F91" s="40" t="n">
        <f aca="false">Scenarios!$D$41*(1-Scenarios!$D$40)^(F$4-1)</f>
        <v>354497.430294865</v>
      </c>
      <c r="G91" s="40" t="n">
        <f aca="false">Scenarios!$D$41*(1-Scenarios!$D$40)^(G$4-1)</f>
        <v>314793.71810184</v>
      </c>
      <c r="H91" s="40" t="n">
        <f aca="false">Scenarios!$D$41*(1-Scenarios!$D$40)^(H$4-1)</f>
        <v>279536.821674434</v>
      </c>
      <c r="I91" s="40" t="n">
        <f aca="false">Scenarios!$D$41*(1-Scenarios!$D$40)^(I$4-1)</f>
        <v>248228.697646897</v>
      </c>
      <c r="J91" s="40" t="n">
        <f aca="false">Scenarios!$D$41*(1-Scenarios!$D$40)^(J$4-1)</f>
        <v>220427.083510445</v>
      </c>
      <c r="K91" s="40" t="n">
        <f aca="false">Scenarios!$D$41*(1-Scenarios!$D$40)^(K$4-1)</f>
        <v>195739.250157275</v>
      </c>
      <c r="L91" s="40" t="n">
        <f aca="false">Scenarios!$D$41*(1-Scenarios!$D$40)^(L$4-1)</f>
        <v>173816.45413966</v>
      </c>
      <c r="M91" s="40" t="n">
        <f aca="false">Scenarios!$D$41*(1-Scenarios!$D$40)^(M$4-1)</f>
        <v>154349.011276018</v>
      </c>
      <c r="N91" s="40" t="n">
        <f aca="false">Scenarios!$D$41*(1-Scenarios!$D$40)^(N$4-1)</f>
        <v>137061.922013104</v>
      </c>
      <c r="O91" s="40" t="n">
        <f aca="false">Scenarios!$D$41*(1-Scenarios!$D$40)^(O$4-1)</f>
        <v>121710.986747637</v>
      </c>
      <c r="P91" s="40" t="n">
        <f aca="false">Scenarios!$D$41*(1-Scenarios!$D$40)^(P$4-1)</f>
        <v>108079.356231901</v>
      </c>
      <c r="Q91" s="40" t="n">
        <f aca="false">Scenarios!$D$41*(1-Scenarios!$D$40)^(Q$4-1)</f>
        <v>95974.4683339283</v>
      </c>
      <c r="R91" s="40" t="n">
        <f aca="false">Scenarios!$D$41*(1-Scenarios!$D$40)^(R$4-1)</f>
        <v>85225.3278805284</v>
      </c>
      <c r="S91" s="40" t="n">
        <f aca="false">Scenarios!$D$41*(1-Scenarios!$D$40)^(S$4-1)</f>
        <v>75680.0911579092</v>
      </c>
      <c r="T91" s="40" t="n">
        <f aca="false">Scenarios!$D$41*(1-Scenarios!$D$40)^(T$4-1)</f>
        <v>67203.9209482234</v>
      </c>
      <c r="U91" s="40" t="n">
        <f aca="false">Scenarios!$D$41*(1-Scenarios!$D$40)^(U$4-1)</f>
        <v>59677.0818020223</v>
      </c>
      <c r="V91" s="40" t="n">
        <f aca="false">Scenarios!$D$41*(1-Scenarios!$D$40)^(V$4-1)</f>
        <v>52993.2486401958</v>
      </c>
      <c r="W91" s="40" t="n">
        <f aca="false">Scenarios!$D$41*(1-Scenarios!$D$40)^(W$4-1)</f>
        <v>47058.0047924939</v>
      </c>
      <c r="X91" s="40" t="n">
        <f aca="false">Scenarios!$D$41*(1-Scenarios!$D$40)^(X$4-1)</f>
        <v>41787.5082557346</v>
      </c>
      <c r="Y91" s="40" t="n">
        <f aca="false">Scenarios!$D$41*(1-Scenarios!$D$40)^(Y$4-1)</f>
        <v>37107.3073310923</v>
      </c>
      <c r="Z91" s="40" t="n">
        <f aca="false">Scenarios!$D$41*(1-Scenarios!$D$40)^(Z$4-1)</f>
        <v>32951.28891001</v>
      </c>
      <c r="AA91" s="40" t="n">
        <f aca="false">Scenarios!$D$41*(1-Scenarios!$D$40)^(AA$4-1)</f>
        <v>29260.7445520889</v>
      </c>
      <c r="AB91" s="40" t="n">
        <f aca="false">Scenarios!$D$41*(1-Scenarios!$D$40)^(AB$4-1)</f>
        <v>25983.5411622549</v>
      </c>
    </row>
    <row r="92" customFormat="false" ht="15" hidden="false" customHeight="false" outlineLevel="0" collapsed="false">
      <c r="A92" s="14"/>
      <c r="B92" s="9"/>
      <c r="C92" s="9" t="s">
        <v>196</v>
      </c>
      <c r="D92" s="36" t="n">
        <f aca="false">SUM(E92:AB92)</f>
        <v>1</v>
      </c>
      <c r="E92" s="21" t="n">
        <f aca="false">E91/$D$91</f>
        <v>0.118870448356418</v>
      </c>
      <c r="F92" s="21" t="n">
        <f aca="false">F91/$D$91</f>
        <v>0.105556958140499</v>
      </c>
      <c r="G92" s="21" t="n">
        <f aca="false">G91/$D$91</f>
        <v>0.0937345788287634</v>
      </c>
      <c r="H92" s="21" t="n">
        <f aca="false">H91/$D$91</f>
        <v>0.0832363059999419</v>
      </c>
      <c r="I92" s="21" t="n">
        <f aca="false">I91/$D$91</f>
        <v>0.0739138397279484</v>
      </c>
      <c r="J92" s="21" t="n">
        <f aca="false">J91/$D$91</f>
        <v>0.0656354896784182</v>
      </c>
      <c r="K92" s="21" t="n">
        <f aca="false">K91/$D$91</f>
        <v>0.0582843148344353</v>
      </c>
      <c r="L92" s="21" t="n">
        <f aca="false">L91/$D$91</f>
        <v>0.0517564715729786</v>
      </c>
      <c r="M92" s="21" t="n">
        <f aca="false">M91/$D$91</f>
        <v>0.045959746756805</v>
      </c>
      <c r="N92" s="21" t="n">
        <f aca="false">N91/$D$91</f>
        <v>0.0408122551200428</v>
      </c>
      <c r="O92" s="21" t="n">
        <f aca="false">O91/$D$91</f>
        <v>0.036241282546598</v>
      </c>
      <c r="P92" s="21" t="n">
        <f aca="false">P91/$D$91</f>
        <v>0.032182258901379</v>
      </c>
      <c r="Q92" s="21" t="n">
        <f aca="false">Q91/$D$91</f>
        <v>0.0285778459044246</v>
      </c>
      <c r="R92" s="21" t="n">
        <f aca="false">R91/$D$91</f>
        <v>0.025377127163129</v>
      </c>
      <c r="S92" s="21" t="n">
        <f aca="false">S91/$D$91</f>
        <v>0.0225348889208586</v>
      </c>
      <c r="T92" s="21" t="n">
        <f aca="false">T91/$D$91</f>
        <v>0.0200109813617224</v>
      </c>
      <c r="U92" s="21" t="n">
        <f aca="false">U91/$D$91</f>
        <v>0.0177697514492095</v>
      </c>
      <c r="V92" s="21" t="n">
        <f aca="false">V91/$D$91</f>
        <v>0.0157795392868981</v>
      </c>
      <c r="W92" s="21" t="n">
        <f aca="false">W91/$D$91</f>
        <v>0.0140122308867655</v>
      </c>
      <c r="X92" s="21" t="n">
        <f aca="false">X91/$D$91</f>
        <v>0.0124428610274477</v>
      </c>
      <c r="Y92" s="21" t="n">
        <f aca="false">Y91/$D$91</f>
        <v>0.0110492605923736</v>
      </c>
      <c r="Z92" s="21" t="n">
        <f aca="false">Z91/$D$91</f>
        <v>0.00981174340602775</v>
      </c>
      <c r="AA92" s="21" t="n">
        <f aca="false">AA91/$D$91</f>
        <v>0.00871282814455264</v>
      </c>
      <c r="AB92" s="21" t="n">
        <f aca="false">AB91/$D$91</f>
        <v>0.00773699139236274</v>
      </c>
    </row>
    <row r="93" customFormat="false" ht="15" hidden="false" customHeight="false" outlineLevel="0" collapsed="false">
      <c r="A93" s="14"/>
      <c r="B93" s="9"/>
      <c r="C93" s="9" t="s">
        <v>197</v>
      </c>
      <c r="D93" s="27" t="n">
        <f aca="false">SUM(E93:AB93)</f>
        <v>4836650.31032935</v>
      </c>
      <c r="E93" s="40" t="n">
        <f aca="false">E91*'Title Inputs'!$D$16*'Title Inputs'!$D$11*Scenarios!$D$42/60</f>
        <v>574934.790932059</v>
      </c>
      <c r="F93" s="40" t="n">
        <f aca="false">F91*'Title Inputs'!$D$16*'Title Inputs'!$D$11*Scenarios!$D$42/60</f>
        <v>510542.094347668</v>
      </c>
      <c r="G93" s="40" t="n">
        <f aca="false">G91*'Title Inputs'!$D$16*'Title Inputs'!$D$11*Scenarios!$D$42/60</f>
        <v>453361.379780729</v>
      </c>
      <c r="H93" s="40" t="n">
        <f aca="false">H91*'Title Inputs'!$D$16*'Title Inputs'!$D$11*Scenarios!$D$42/60</f>
        <v>402584.905245288</v>
      </c>
      <c r="I93" s="40" t="n">
        <f aca="false">I91*'Title Inputs'!$D$16*'Title Inputs'!$D$11*Scenarios!$D$42/60</f>
        <v>357495.395857815</v>
      </c>
      <c r="J93" s="40" t="n">
        <f aca="false">J91*'Title Inputs'!$D$16*'Title Inputs'!$D$11*Scenarios!$D$42/60</f>
        <v>317455.91152174</v>
      </c>
      <c r="K93" s="40" t="n">
        <f aca="false">K91*'Title Inputs'!$D$16*'Title Inputs'!$D$11*Scenarios!$D$42/60</f>
        <v>281900.849431305</v>
      </c>
      <c r="L93" s="40" t="n">
        <f aca="false">L91*'Title Inputs'!$D$16*'Title Inputs'!$D$11*Scenarios!$D$42/60</f>
        <v>250327.954294999</v>
      </c>
      <c r="M93" s="40" t="n">
        <f aca="false">M91*'Title Inputs'!$D$16*'Title Inputs'!$D$11*Scenarios!$D$42/60</f>
        <v>222291.223413959</v>
      </c>
      <c r="N93" s="40" t="n">
        <f aca="false">N91*'Title Inputs'!$D$16*'Title Inputs'!$D$11*Scenarios!$D$42/60</f>
        <v>197394.606391596</v>
      </c>
      <c r="O93" s="40" t="n">
        <f aca="false">O91*'Title Inputs'!$D$16*'Title Inputs'!$D$11*Scenarios!$D$42/60</f>
        <v>175286.410475737</v>
      </c>
      <c r="P93" s="40" t="n">
        <f aca="false">P91*'Title Inputs'!$D$16*'Title Inputs'!$D$11*Scenarios!$D$42/60</f>
        <v>155654.332502454</v>
      </c>
      <c r="Q93" s="40" t="n">
        <f aca="false">Q91*'Title Inputs'!$D$16*'Title Inputs'!$D$11*Scenarios!$D$42/60</f>
        <v>138221.04726218</v>
      </c>
      <c r="R93" s="40" t="n">
        <f aca="false">R91*'Title Inputs'!$D$16*'Title Inputs'!$D$11*Scenarios!$D$42/60</f>
        <v>122740.289968815</v>
      </c>
      <c r="S93" s="40" t="n">
        <f aca="false">S91*'Title Inputs'!$D$16*'Title Inputs'!$D$11*Scenarios!$D$42/60</f>
        <v>108993.377492308</v>
      </c>
      <c r="T93" s="40" t="n">
        <f aca="false">T91*'Title Inputs'!$D$16*'Title Inputs'!$D$11*Scenarios!$D$42/60</f>
        <v>96786.1192131696</v>
      </c>
      <c r="U93" s="40" t="n">
        <f aca="false">U91*'Title Inputs'!$D$16*'Title Inputs'!$D$11*Scenarios!$D$42/60</f>
        <v>85946.0738612946</v>
      </c>
      <c r="V93" s="40" t="n">
        <f aca="false">V91*'Title Inputs'!$D$16*'Title Inputs'!$D$11*Scenarios!$D$42/60</f>
        <v>76320.1135888296</v>
      </c>
      <c r="W93" s="40" t="n">
        <f aca="false">W91*'Title Inputs'!$D$16*'Title Inputs'!$D$11*Scenarios!$D$42/60</f>
        <v>67772.2608668807</v>
      </c>
      <c r="X93" s="40" t="n">
        <f aca="false">X91*'Title Inputs'!$D$16*'Title Inputs'!$D$11*Scenarios!$D$42/60</f>
        <v>60181.7676497901</v>
      </c>
      <c r="Y93" s="40" t="n">
        <f aca="false">Y91*'Title Inputs'!$D$16*'Title Inputs'!$D$11*Scenarios!$D$42/60</f>
        <v>53441.4096730136</v>
      </c>
      <c r="Z93" s="40" t="n">
        <f aca="false">Z91*'Title Inputs'!$D$16*'Title Inputs'!$D$11*Scenarios!$D$42/60</f>
        <v>47455.9717896361</v>
      </c>
      <c r="AA93" s="40" t="n">
        <f aca="false">AA91*'Title Inputs'!$D$16*'Title Inputs'!$D$11*Scenarios!$D$42/60</f>
        <v>42140.9029491968</v>
      </c>
      <c r="AB93" s="40" t="n">
        <f aca="false">AB91*'Title Inputs'!$D$16*'Title Inputs'!$D$11*Scenarios!$D$42/60</f>
        <v>37421.1218188868</v>
      </c>
    </row>
    <row r="94" customFormat="false" ht="15" hidden="false" customHeight="false" outlineLevel="0" collapsed="false">
      <c r="A94" s="14"/>
      <c r="B94" s="9"/>
      <c r="C94" s="9" t="s">
        <v>198</v>
      </c>
      <c r="D94" s="27" t="n">
        <f aca="false">SUM(E94:AB94)</f>
        <v>63936647.7823058</v>
      </c>
      <c r="E94" s="40" t="n">
        <f aca="false">E93*'Title Inputs'!$D$24*Scenarios!$D$43</f>
        <v>7600177.98828907</v>
      </c>
      <c r="F94" s="40" t="n">
        <f aca="false">F93*'Title Inputs'!$D$24*Scenarios!$D$43</f>
        <v>6748958.0536007</v>
      </c>
      <c r="G94" s="40" t="n">
        <f aca="false">G93*'Title Inputs'!$D$24*Scenarios!$D$43</f>
        <v>5993074.75159742</v>
      </c>
      <c r="H94" s="40" t="n">
        <f aca="false">H93*'Title Inputs'!$D$24*Scenarios!$D$43</f>
        <v>5321850.37941851</v>
      </c>
      <c r="I94" s="40" t="n">
        <f aca="false">I93*'Title Inputs'!$D$24*Scenarios!$D$43</f>
        <v>4725803.13692363</v>
      </c>
      <c r="J94" s="40" t="n">
        <f aca="false">J93*'Title Inputs'!$D$24*Scenarios!$D$43</f>
        <v>4196513.18558819</v>
      </c>
      <c r="K94" s="40" t="n">
        <f aca="false">K93*'Title Inputs'!$D$24*Scenarios!$D$43</f>
        <v>3726503.70880231</v>
      </c>
      <c r="L94" s="40" t="n">
        <f aca="false">L93*'Title Inputs'!$D$24*Scenarios!$D$43</f>
        <v>3309135.29341645</v>
      </c>
      <c r="M94" s="40" t="n">
        <f aca="false">M93*'Title Inputs'!$D$24*Scenarios!$D$43</f>
        <v>2938512.14055381</v>
      </c>
      <c r="N94" s="40" t="n">
        <f aca="false">N93*'Title Inputs'!$D$24*Scenarios!$D$43</f>
        <v>2609398.78081178</v>
      </c>
      <c r="O94" s="40" t="n">
        <f aca="false">O93*'Title Inputs'!$D$24*Scenarios!$D$43</f>
        <v>2317146.11736086</v>
      </c>
      <c r="P94" s="40" t="n">
        <f aca="false">P93*'Title Inputs'!$D$24*Scenarios!$D$43</f>
        <v>2057625.75221645</v>
      </c>
      <c r="Q94" s="40" t="n">
        <f aca="false">Q93*'Title Inputs'!$D$24*Scenarios!$D$43</f>
        <v>1827171.6679682</v>
      </c>
      <c r="R94" s="40" t="n">
        <f aca="false">R93*'Title Inputs'!$D$24*Scenarios!$D$43</f>
        <v>1622528.44115577</v>
      </c>
      <c r="S94" s="40" t="n">
        <f aca="false">S93*'Title Inputs'!$D$24*Scenarios!$D$43</f>
        <v>1440805.25574632</v>
      </c>
      <c r="T94" s="40" t="n">
        <f aca="false">T93*'Title Inputs'!$D$24*Scenarios!$D$43</f>
        <v>1279435.06710273</v>
      </c>
      <c r="U94" s="40" t="n">
        <f aca="false">U93*'Title Inputs'!$D$24*Scenarios!$D$43</f>
        <v>1136138.33958723</v>
      </c>
      <c r="V94" s="40" t="n">
        <f aca="false">V93*'Title Inputs'!$D$24*Scenarios!$D$43</f>
        <v>1008890.84555346</v>
      </c>
      <c r="W94" s="40" t="n">
        <f aca="false">W93*'Title Inputs'!$D$24*Scenarios!$D$43</f>
        <v>895895.07085147</v>
      </c>
      <c r="X94" s="40" t="n">
        <f aca="false">X93*'Title Inputs'!$D$24*Scenarios!$D$43</f>
        <v>795554.822916105</v>
      </c>
      <c r="Y94" s="40" t="n">
        <f aca="false">Y93*'Title Inputs'!$D$24*Scenarios!$D$43</f>
        <v>706452.682749501</v>
      </c>
      <c r="Z94" s="40" t="n">
        <f aca="false">Z93*'Title Inputs'!$D$24*Scenarios!$D$43</f>
        <v>627329.982281557</v>
      </c>
      <c r="AA94" s="40" t="n">
        <f aca="false">AA93*'Title Inputs'!$D$24*Scenarios!$D$43</f>
        <v>557069.024266023</v>
      </c>
      <c r="AB94" s="40" t="n">
        <f aca="false">AB93*'Title Inputs'!$D$24*Scenarios!$D$43</f>
        <v>494677.293548228</v>
      </c>
    </row>
    <row r="95" customFormat="false" ht="15" hidden="false" customHeight="false" outlineLevel="0" collapsed="false">
      <c r="A95" s="14"/>
      <c r="B95" s="9"/>
      <c r="C95" s="9" t="s">
        <v>199</v>
      </c>
      <c r="D95" s="34" t="n">
        <f aca="false">SUM(E95:AB95)</f>
        <v>1588186.33091247</v>
      </c>
      <c r="E95" s="41" t="n">
        <f aca="false">E94/1000*Scenarios!$D$44</f>
        <v>188788.421229101</v>
      </c>
      <c r="F95" s="41" t="n">
        <f aca="false">F94/1000*Scenarios!$D$44</f>
        <v>167644.118051441</v>
      </c>
      <c r="G95" s="41" t="n">
        <f aca="false">G94/1000*Scenarios!$D$44</f>
        <v>148867.97682968</v>
      </c>
      <c r="H95" s="41" t="n">
        <f aca="false">H94/1000*Scenarios!$D$44</f>
        <v>132194.763424756</v>
      </c>
      <c r="I95" s="41" t="n">
        <f aca="false">I94/1000*Scenarios!$D$44</f>
        <v>117388.949921183</v>
      </c>
      <c r="J95" s="41" t="n">
        <f aca="false">J94/1000*Scenarios!$D$44</f>
        <v>104241.387530011</v>
      </c>
      <c r="K95" s="41" t="n">
        <f aca="false">K94/1000*Scenarios!$D$44</f>
        <v>92566.3521266494</v>
      </c>
      <c r="L95" s="41" t="n">
        <f aca="false">L94/1000*Scenarios!$D$44</f>
        <v>82198.9206884647</v>
      </c>
      <c r="M95" s="41" t="n">
        <f aca="false">M94/1000*Scenarios!$D$44</f>
        <v>72992.6415713566</v>
      </c>
      <c r="N95" s="41" t="n">
        <f aca="false">N94/1000*Scenarios!$D$44</f>
        <v>64817.4657153647</v>
      </c>
      <c r="O95" s="41" t="n">
        <f aca="false">O94/1000*Scenarios!$D$44</f>
        <v>57557.9095552438</v>
      </c>
      <c r="P95" s="41" t="n">
        <f aca="false">P94/1000*Scenarios!$D$44</f>
        <v>51111.4236850565</v>
      </c>
      <c r="Q95" s="41" t="n">
        <f aca="false">Q94/1000*Scenarios!$D$44</f>
        <v>45386.9442323302</v>
      </c>
      <c r="R95" s="41" t="n">
        <f aca="false">R94/1000*Scenarios!$D$44</f>
        <v>40303.6064783092</v>
      </c>
      <c r="S95" s="41" t="n">
        <f aca="false">S94/1000*Scenarios!$D$44</f>
        <v>35789.6025527386</v>
      </c>
      <c r="T95" s="41" t="n">
        <f aca="false">T94/1000*Scenarios!$D$44</f>
        <v>31781.1670668319</v>
      </c>
      <c r="U95" s="41" t="n">
        <f aca="false">U94/1000*Scenarios!$D$44</f>
        <v>28221.6763553467</v>
      </c>
      <c r="V95" s="41" t="n">
        <f aca="false">V94/1000*Scenarios!$D$44</f>
        <v>25060.8486035479</v>
      </c>
      <c r="W95" s="41" t="n">
        <f aca="false">W94/1000*Scenarios!$D$44</f>
        <v>22254.0335599505</v>
      </c>
      <c r="X95" s="41" t="n">
        <f aca="false">X94/1000*Scenarios!$D$44</f>
        <v>19761.581801236</v>
      </c>
      <c r="Y95" s="41" t="n">
        <f aca="false">Y94/1000*Scenarios!$D$44</f>
        <v>17548.2846394976</v>
      </c>
      <c r="Z95" s="41" t="n">
        <f aca="false">Z94/1000*Scenarios!$D$44</f>
        <v>15582.8767598739</v>
      </c>
      <c r="AA95" s="41" t="n">
        <f aca="false">AA94/1000*Scenarios!$D$44</f>
        <v>13837.594562768</v>
      </c>
      <c r="AB95" s="41" t="n">
        <f aca="false">AB94/1000*Scenarios!$D$44</f>
        <v>12287.783971738</v>
      </c>
    </row>
    <row r="97" customFormat="false" ht="15" hidden="false" customHeight="false" outlineLevel="0" collapsed="false">
      <c r="A97" s="14" t="s">
        <v>210</v>
      </c>
      <c r="B97" s="8" t="s">
        <v>124</v>
      </c>
      <c r="C97" s="9" t="s">
        <v>195</v>
      </c>
      <c r="D97" s="27" t="n">
        <f aca="false">SUM(E97:AB97)</f>
        <v>2746958.07526794</v>
      </c>
      <c r="E97" s="40" t="n">
        <f aca="false">Scenarios!$E$41*(1-Scenarios!$E$40)^(E$4-1)</f>
        <v>345715.60089771</v>
      </c>
      <c r="F97" s="40" t="n">
        <f aca="false">Scenarios!$E$41*(1-Scenarios!$E$40)^(F$4-1)</f>
        <v>304229.728789985</v>
      </c>
      <c r="G97" s="40" t="n">
        <f aca="false">Scenarios!$E$41*(1-Scenarios!$E$40)^(G$4-1)</f>
        <v>267722.161335187</v>
      </c>
      <c r="H97" s="40" t="n">
        <f aca="false">Scenarios!$E$41*(1-Scenarios!$E$40)^(H$4-1)</f>
        <v>235595.501974964</v>
      </c>
      <c r="I97" s="40" t="n">
        <f aca="false">Scenarios!$E$41*(1-Scenarios!$E$40)^(I$4-1)</f>
        <v>207324.041737969</v>
      </c>
      <c r="J97" s="40" t="n">
        <f aca="false">Scenarios!$E$41*(1-Scenarios!$E$40)^(J$4-1)</f>
        <v>182445.156729412</v>
      </c>
      <c r="K97" s="40" t="n">
        <f aca="false">Scenarios!$E$41*(1-Scenarios!$E$40)^(K$4-1)</f>
        <v>160551.737921883</v>
      </c>
      <c r="L97" s="40" t="n">
        <f aca="false">Scenarios!$E$41*(1-Scenarios!$E$40)^(L$4-1)</f>
        <v>141285.529371257</v>
      </c>
      <c r="M97" s="40" t="n">
        <f aca="false">Scenarios!$E$41*(1-Scenarios!$E$40)^(M$4-1)</f>
        <v>124331.265846706</v>
      </c>
      <c r="N97" s="40" t="n">
        <f aca="false">Scenarios!$E$41*(1-Scenarios!$E$40)^(N$4-1)</f>
        <v>109411.513945101</v>
      </c>
      <c r="O97" s="40" t="n">
        <f aca="false">Scenarios!$E$41*(1-Scenarios!$E$40)^(O$4-1)</f>
        <v>96282.1322716892</v>
      </c>
      <c r="P97" s="40" t="n">
        <f aca="false">Scenarios!$E$41*(1-Scenarios!$E$40)^(P$4-1)</f>
        <v>84728.2763990865</v>
      </c>
      <c r="Q97" s="40" t="n">
        <f aca="false">Scenarios!$E$41*(1-Scenarios!$E$40)^(Q$4-1)</f>
        <v>74560.8832311961</v>
      </c>
      <c r="R97" s="40" t="n">
        <f aca="false">Scenarios!$E$41*(1-Scenarios!$E$40)^(R$4-1)</f>
        <v>65613.5772434526</v>
      </c>
      <c r="S97" s="40" t="n">
        <f aca="false">Scenarios!$E$41*(1-Scenarios!$E$40)^(S$4-1)</f>
        <v>57739.9479742383</v>
      </c>
      <c r="T97" s="40" t="n">
        <f aca="false">Scenarios!$E$41*(1-Scenarios!$E$40)^(T$4-1)</f>
        <v>50811.1542173297</v>
      </c>
      <c r="U97" s="40" t="n">
        <f aca="false">Scenarios!$E$41*(1-Scenarios!$E$40)^(U$4-1)</f>
        <v>44713.8157112501</v>
      </c>
      <c r="V97" s="40" t="n">
        <f aca="false">Scenarios!$E$41*(1-Scenarios!$E$40)^(V$4-1)</f>
        <v>39348.1578259001</v>
      </c>
      <c r="W97" s="40" t="n">
        <f aca="false">Scenarios!$E$41*(1-Scenarios!$E$40)^(W$4-1)</f>
        <v>34626.3788867921</v>
      </c>
      <c r="X97" s="40" t="n">
        <f aca="false">Scenarios!$E$41*(1-Scenarios!$E$40)^(X$4-1)</f>
        <v>30471.213420377</v>
      </c>
      <c r="Y97" s="40" t="n">
        <f aca="false">Scenarios!$E$41*(1-Scenarios!$E$40)^(Y$4-1)</f>
        <v>26814.6678099318</v>
      </c>
      <c r="Z97" s="40" t="n">
        <f aca="false">Scenarios!$E$41*(1-Scenarios!$E$40)^(Z$4-1)</f>
        <v>23596.90767274</v>
      </c>
      <c r="AA97" s="40" t="n">
        <f aca="false">Scenarios!$E$41*(1-Scenarios!$E$40)^(AA$4-1)</f>
        <v>20765.2787520112</v>
      </c>
      <c r="AB97" s="40" t="n">
        <f aca="false">Scenarios!$E$41*(1-Scenarios!$E$40)^(AB$4-1)</f>
        <v>18273.4453017698</v>
      </c>
    </row>
    <row r="98" customFormat="false" ht="15" hidden="false" customHeight="false" outlineLevel="0" collapsed="false">
      <c r="A98" s="14"/>
      <c r="B98" s="9"/>
      <c r="C98" s="9" t="s">
        <v>196</v>
      </c>
      <c r="D98" s="36" t="n">
        <f aca="false">SUM(E98:AB98)</f>
        <v>1</v>
      </c>
      <c r="E98" s="21" t="n">
        <f aca="false">E97/$D$97</f>
        <v>0.125853977900259</v>
      </c>
      <c r="F98" s="21" t="n">
        <f aca="false">F97/$D$97</f>
        <v>0.110751500552228</v>
      </c>
      <c r="G98" s="21" t="n">
        <f aca="false">G97/$D$97</f>
        <v>0.0974613204859608</v>
      </c>
      <c r="H98" s="21" t="n">
        <f aca="false">H97/$D$97</f>
        <v>0.0857659620276455</v>
      </c>
      <c r="I98" s="21" t="n">
        <f aca="false">I97/$D$97</f>
        <v>0.0754740465843281</v>
      </c>
      <c r="J98" s="21" t="n">
        <f aca="false">J97/$D$97</f>
        <v>0.0664171609942087</v>
      </c>
      <c r="K98" s="21" t="n">
        <f aca="false">K97/$D$97</f>
        <v>0.0584471016749037</v>
      </c>
      <c r="L98" s="21" t="n">
        <f aca="false">L97/$D$97</f>
        <v>0.0514334494739152</v>
      </c>
      <c r="M98" s="21" t="n">
        <f aca="false">M97/$D$97</f>
        <v>0.0452614355370454</v>
      </c>
      <c r="N98" s="21" t="n">
        <f aca="false">N97/$D$97</f>
        <v>0.0398300632726</v>
      </c>
      <c r="O98" s="21" t="n">
        <f aca="false">O97/$D$97</f>
        <v>0.035050455679888</v>
      </c>
      <c r="P98" s="21" t="n">
        <f aca="false">P97/$D$97</f>
        <v>0.0308444009983014</v>
      </c>
      <c r="Q98" s="21" t="n">
        <f aca="false">Q97/$D$97</f>
        <v>0.0271430728785052</v>
      </c>
      <c r="R98" s="21" t="n">
        <f aca="false">R97/$D$97</f>
        <v>0.0238859041330846</v>
      </c>
      <c r="S98" s="21" t="n">
        <f aca="false">S97/$D$97</f>
        <v>0.0210195956371145</v>
      </c>
      <c r="T98" s="21" t="n">
        <f aca="false">T97/$D$97</f>
        <v>0.0184972441606607</v>
      </c>
      <c r="U98" s="21" t="n">
        <f aca="false">U97/$D$97</f>
        <v>0.0162775748613814</v>
      </c>
      <c r="V98" s="21" t="n">
        <f aca="false">V97/$D$97</f>
        <v>0.0143242658780157</v>
      </c>
      <c r="W98" s="21" t="n">
        <f aca="false">W97/$D$97</f>
        <v>0.0126053539726538</v>
      </c>
      <c r="X98" s="21" t="n">
        <f aca="false">X97/$D$97</f>
        <v>0.0110927114959353</v>
      </c>
      <c r="Y98" s="21" t="n">
        <f aca="false">Y97/$D$97</f>
        <v>0.00976158611642309</v>
      </c>
      <c r="Z98" s="21" t="n">
        <f aca="false">Z97/$D$97</f>
        <v>0.00859019578245232</v>
      </c>
      <c r="AA98" s="21" t="n">
        <f aca="false">AA97/$D$97</f>
        <v>0.00755937228855804</v>
      </c>
      <c r="AB98" s="21" t="n">
        <f aca="false">AB97/$D$97</f>
        <v>0.00665224761393108</v>
      </c>
    </row>
    <row r="99" customFormat="false" ht="15" hidden="false" customHeight="false" outlineLevel="0" collapsed="false">
      <c r="A99" s="14"/>
      <c r="B99" s="9"/>
      <c r="C99" s="9" t="s">
        <v>197</v>
      </c>
      <c r="D99" s="27" t="n">
        <f aca="false">SUM(E99:AB99)</f>
        <v>3504613.06375604</v>
      </c>
      <c r="E99" s="40" t="n">
        <f aca="false">E97*'Title Inputs'!$E$16*'Title Inputs'!$E$11*Scenarios!$E$42/60</f>
        <v>441069.495074913</v>
      </c>
      <c r="F99" s="40" t="n">
        <f aca="false">F97*'Title Inputs'!$E$16*'Title Inputs'!$E$11*Scenarios!$E$42/60</f>
        <v>388141.155665923</v>
      </c>
      <c r="G99" s="40" t="n">
        <f aca="false">G97*'Title Inputs'!$E$16*'Title Inputs'!$E$11*Scenarios!$E$42/60</f>
        <v>341564.216986013</v>
      </c>
      <c r="H99" s="40" t="n">
        <f aca="false">H97*'Title Inputs'!$E$16*'Title Inputs'!$E$11*Scenarios!$E$42/60</f>
        <v>300576.510947691</v>
      </c>
      <c r="I99" s="40" t="n">
        <f aca="false">I97*'Title Inputs'!$E$16*'Title Inputs'!$E$11*Scenarios!$E$42/60</f>
        <v>264507.329633968</v>
      </c>
      <c r="J99" s="40" t="n">
        <f aca="false">J97*'Title Inputs'!$E$16*'Title Inputs'!$E$11*Scenarios!$E$42/60</f>
        <v>232766.450077892</v>
      </c>
      <c r="K99" s="40" t="n">
        <f aca="false">K97*'Title Inputs'!$E$16*'Title Inputs'!$E$11*Scenarios!$E$42/60</f>
        <v>204834.476068545</v>
      </c>
      <c r="L99" s="40" t="n">
        <f aca="false">L97*'Title Inputs'!$E$16*'Title Inputs'!$E$11*Scenarios!$E$42/60</f>
        <v>180254.338940319</v>
      </c>
      <c r="M99" s="40" t="n">
        <f aca="false">M97*'Title Inputs'!$E$16*'Title Inputs'!$E$11*Scenarios!$E$42/60</f>
        <v>158623.818267481</v>
      </c>
      <c r="N99" s="40" t="n">
        <f aca="false">N97*'Title Inputs'!$E$16*'Title Inputs'!$E$11*Scenarios!$E$42/60</f>
        <v>139588.960075383</v>
      </c>
      <c r="O99" s="40" t="n">
        <f aca="false">O97*'Title Inputs'!$E$16*'Title Inputs'!$E$11*Scenarios!$E$42/60</f>
        <v>122838.284866337</v>
      </c>
      <c r="P99" s="40" t="n">
        <f aca="false">P97*'Title Inputs'!$E$16*'Title Inputs'!$E$11*Scenarios!$E$42/60</f>
        <v>108097.690682377</v>
      </c>
      <c r="Q99" s="40" t="n">
        <f aca="false">Q97*'Title Inputs'!$E$16*'Title Inputs'!$E$11*Scenarios!$E$42/60</f>
        <v>95125.9678004917</v>
      </c>
      <c r="R99" s="40" t="n">
        <f aca="false">R97*'Title Inputs'!$E$16*'Title Inputs'!$E$11*Scenarios!$E$42/60</f>
        <v>83710.8516644327</v>
      </c>
      <c r="S99" s="40" t="n">
        <f aca="false">S97*'Title Inputs'!$E$16*'Title Inputs'!$E$11*Scenarios!$E$42/60</f>
        <v>73665.5494647008</v>
      </c>
      <c r="T99" s="40" t="n">
        <f aca="false">T97*'Title Inputs'!$E$16*'Title Inputs'!$E$11*Scenarios!$E$42/60</f>
        <v>64825.6835289367</v>
      </c>
      <c r="U99" s="40" t="n">
        <f aca="false">U97*'Title Inputs'!$E$16*'Title Inputs'!$E$11*Scenarios!$E$42/60</f>
        <v>57046.6015054643</v>
      </c>
      <c r="V99" s="40" t="n">
        <f aca="false">V97*'Title Inputs'!$E$16*'Title Inputs'!$E$11*Scenarios!$E$42/60</f>
        <v>50201.0093248086</v>
      </c>
      <c r="W99" s="40" t="n">
        <f aca="false">W97*'Title Inputs'!$E$16*'Title Inputs'!$E$11*Scenarios!$E$42/60</f>
        <v>44176.8882058315</v>
      </c>
      <c r="X99" s="40" t="n">
        <f aca="false">X97*'Title Inputs'!$E$16*'Title Inputs'!$E$11*Scenarios!$E$42/60</f>
        <v>38875.6616211317</v>
      </c>
      <c r="Y99" s="40" t="n">
        <f aca="false">Y97*'Title Inputs'!$E$16*'Title Inputs'!$E$11*Scenarios!$E$42/60</f>
        <v>34210.5822265959</v>
      </c>
      <c r="Z99" s="40" t="n">
        <f aca="false">Z97*'Title Inputs'!$E$16*'Title Inputs'!$E$11*Scenarios!$E$42/60</f>
        <v>30105.3123594044</v>
      </c>
      <c r="AA99" s="40" t="n">
        <f aca="false">AA97*'Title Inputs'!$E$16*'Title Inputs'!$E$11*Scenarios!$E$42/60</f>
        <v>26492.6748762759</v>
      </c>
      <c r="AB99" s="40" t="n">
        <f aca="false">AB97*'Title Inputs'!$E$16*'Title Inputs'!$E$11*Scenarios!$E$42/60</f>
        <v>23313.5538911228</v>
      </c>
    </row>
    <row r="100" customFormat="false" ht="15" hidden="false" customHeight="false" outlineLevel="0" collapsed="false">
      <c r="A100" s="14"/>
      <c r="B100" s="9"/>
      <c r="C100" s="9" t="s">
        <v>198</v>
      </c>
      <c r="D100" s="27" t="n">
        <f aca="false">SUM(E100:AB100)</f>
        <v>44326346.0303864</v>
      </c>
      <c r="E100" s="40" t="n">
        <f aca="false">E99*'Title Inputs'!$E$24*Scenarios!$E$43</f>
        <v>5578646.9737075</v>
      </c>
      <c r="F100" s="40" t="n">
        <f aca="false">F99*'Title Inputs'!$E$24*Scenarios!$E$43</f>
        <v>4909209.3368626</v>
      </c>
      <c r="G100" s="40" t="n">
        <f aca="false">G99*'Title Inputs'!$E$24*Scenarios!$E$43</f>
        <v>4320104.21643909</v>
      </c>
      <c r="H100" s="40" t="n">
        <f aca="false">H99*'Title Inputs'!$E$24*Scenarios!$E$43</f>
        <v>3801691.7104664</v>
      </c>
      <c r="I100" s="40" t="n">
        <f aca="false">I99*'Title Inputs'!$E$24*Scenarios!$E$43</f>
        <v>3345488.70521043</v>
      </c>
      <c r="J100" s="40" t="n">
        <f aca="false">J99*'Title Inputs'!$E$24*Scenarios!$E$43</f>
        <v>2944030.06058518</v>
      </c>
      <c r="K100" s="40" t="n">
        <f aca="false">K99*'Title Inputs'!$E$24*Scenarios!$E$43</f>
        <v>2590746.45331496</v>
      </c>
      <c r="L100" s="40" t="n">
        <f aca="false">L99*'Title Inputs'!$E$24*Scenarios!$E$43</f>
        <v>2279856.87891716</v>
      </c>
      <c r="M100" s="40" t="n">
        <f aca="false">M99*'Title Inputs'!$E$24*Scenarios!$E$43</f>
        <v>2006274.0534471</v>
      </c>
      <c r="N100" s="40" t="n">
        <f aca="false">N99*'Title Inputs'!$E$24*Scenarios!$E$43</f>
        <v>1765521.16703345</v>
      </c>
      <c r="O100" s="40" t="n">
        <f aca="false">O99*'Title Inputs'!$E$24*Scenarios!$E$43</f>
        <v>1553658.62698944</v>
      </c>
      <c r="P100" s="40" t="n">
        <f aca="false">P99*'Title Inputs'!$E$24*Scenarios!$E$43</f>
        <v>1367219.5917507</v>
      </c>
      <c r="Q100" s="40" t="n">
        <f aca="false">Q99*'Title Inputs'!$E$24*Scenarios!$E$43</f>
        <v>1203153.24074062</v>
      </c>
      <c r="R100" s="40" t="n">
        <f aca="false">R99*'Title Inputs'!$E$24*Scenarios!$E$43</f>
        <v>1058774.85185174</v>
      </c>
      <c r="S100" s="40" t="n">
        <f aca="false">S99*'Title Inputs'!$E$24*Scenarios!$E$43</f>
        <v>931721.869629535</v>
      </c>
      <c r="T100" s="40" t="n">
        <f aca="false">T99*'Title Inputs'!$E$24*Scenarios!$E$43</f>
        <v>819915.245273991</v>
      </c>
      <c r="U100" s="40" t="n">
        <f aca="false">U99*'Title Inputs'!$E$24*Scenarios!$E$43</f>
        <v>721525.415841112</v>
      </c>
      <c r="V100" s="40" t="n">
        <f aca="false">V99*'Title Inputs'!$E$24*Scenarios!$E$43</f>
        <v>634942.365940179</v>
      </c>
      <c r="W100" s="40" t="n">
        <f aca="false">W99*'Title Inputs'!$E$24*Scenarios!$E$43</f>
        <v>558749.282027357</v>
      </c>
      <c r="X100" s="40" t="n">
        <f aca="false">X99*'Title Inputs'!$E$24*Scenarios!$E$43</f>
        <v>491699.368184074</v>
      </c>
      <c r="Y100" s="40" t="n">
        <f aca="false">Y99*'Title Inputs'!$E$24*Scenarios!$E$43</f>
        <v>432695.444001986</v>
      </c>
      <c r="Z100" s="40" t="n">
        <f aca="false">Z99*'Title Inputs'!$E$24*Scenarios!$E$43</f>
        <v>380771.990721747</v>
      </c>
      <c r="AA100" s="40" t="n">
        <f aca="false">AA99*'Title Inputs'!$E$24*Scenarios!$E$43</f>
        <v>335079.351835137</v>
      </c>
      <c r="AB100" s="40" t="n">
        <f aca="false">AB99*'Title Inputs'!$E$24*Scenarios!$E$43</f>
        <v>294869.829614921</v>
      </c>
    </row>
    <row r="101" customFormat="false" ht="15" hidden="false" customHeight="false" outlineLevel="0" collapsed="false">
      <c r="A101" s="14"/>
      <c r="B101" s="9"/>
      <c r="C101" s="9" t="s">
        <v>199</v>
      </c>
      <c r="D101" s="34" t="n">
        <f aca="false">SUM(E101:AB101)</f>
        <v>1055188.66725335</v>
      </c>
      <c r="E101" s="41" t="n">
        <f aca="false">E100/1000*Scenarios!$E$44</f>
        <v>132799.691209107</v>
      </c>
      <c r="F101" s="41" t="n">
        <f aca="false">F100/1000*Scenarios!$E$44</f>
        <v>116863.728264014</v>
      </c>
      <c r="G101" s="41" t="n">
        <f aca="false">G100/1000*Scenarios!$E$44</f>
        <v>102840.080872332</v>
      </c>
      <c r="H101" s="41" t="n">
        <f aca="false">H100/1000*Scenarios!$E$44</f>
        <v>90499.2711676526</v>
      </c>
      <c r="I101" s="41" t="n">
        <f aca="false">I100/1000*Scenarios!$E$44</f>
        <v>79639.3586275342</v>
      </c>
      <c r="J101" s="41" t="n">
        <f aca="false">J100/1000*Scenarios!$E$44</f>
        <v>70082.6355922301</v>
      </c>
      <c r="K101" s="41" t="n">
        <f aca="false">K100/1000*Scenarios!$E$44</f>
        <v>61672.7193211625</v>
      </c>
      <c r="L101" s="41" t="n">
        <f aca="false">L100/1000*Scenarios!$E$44</f>
        <v>54271.993002623</v>
      </c>
      <c r="M101" s="41" t="n">
        <f aca="false">M100/1000*Scenarios!$E$44</f>
        <v>47759.3538423083</v>
      </c>
      <c r="N101" s="41" t="n">
        <f aca="false">N100/1000*Scenarios!$E$44</f>
        <v>42028.2313812313</v>
      </c>
      <c r="O101" s="41" t="n">
        <f aca="false">O100/1000*Scenarios!$E$44</f>
        <v>36984.8436154835</v>
      </c>
      <c r="P101" s="41" t="n">
        <f aca="false">P100/1000*Scenarios!$E$44</f>
        <v>32546.6623816255</v>
      </c>
      <c r="Q101" s="41" t="n">
        <f aca="false">Q100/1000*Scenarios!$E$44</f>
        <v>28641.0628958304</v>
      </c>
      <c r="R101" s="41" t="n">
        <f aca="false">R100/1000*Scenarios!$E$44</f>
        <v>25204.1353483308</v>
      </c>
      <c r="S101" s="41" t="n">
        <f aca="false">S100/1000*Scenarios!$E$44</f>
        <v>22179.6391065311</v>
      </c>
      <c r="T101" s="41" t="n">
        <f aca="false">T100/1000*Scenarios!$E$44</f>
        <v>19518.0824137474</v>
      </c>
      <c r="U101" s="41" t="n">
        <f aca="false">U100/1000*Scenarios!$E$44</f>
        <v>17175.9125240977</v>
      </c>
      <c r="V101" s="41" t="n">
        <f aca="false">V100/1000*Scenarios!$E$44</f>
        <v>15114.803021206</v>
      </c>
      <c r="W101" s="41" t="n">
        <f aca="false">W100/1000*Scenarios!$E$44</f>
        <v>13301.0266586612</v>
      </c>
      <c r="X101" s="41" t="n">
        <f aca="false">X100/1000*Scenarios!$E$44</f>
        <v>11704.9034596219</v>
      </c>
      <c r="Y101" s="41" t="n">
        <f aca="false">Y100/1000*Scenarios!$E$44</f>
        <v>10300.3150444673</v>
      </c>
      <c r="Z101" s="41" t="n">
        <f aca="false">Z100/1000*Scenarios!$E$44</f>
        <v>9064.27723913119</v>
      </c>
      <c r="AA101" s="41" t="n">
        <f aca="false">AA100/1000*Scenarios!$E$44</f>
        <v>7976.56397043545</v>
      </c>
      <c r="AB101" s="41" t="n">
        <f aca="false">AB100/1000*Scenarios!$E$44</f>
        <v>7019.3762939832</v>
      </c>
    </row>
    <row r="103" customFormat="false" ht="15" hidden="false" customHeight="false" outlineLevel="0" collapsed="false">
      <c r="A103" s="14" t="s">
        <v>210</v>
      </c>
      <c r="B103" s="8" t="s">
        <v>125</v>
      </c>
      <c r="C103" s="9" t="s">
        <v>195</v>
      </c>
      <c r="D103" s="27" t="n">
        <f aca="false">SUM(E103:AB103)</f>
        <v>1807532.86923864</v>
      </c>
      <c r="E103" s="40" t="n">
        <f aca="false">Scenarios!$F$41*(1-Scenarios!$F$40)^(E$4-1)</f>
        <v>246853.042506052</v>
      </c>
      <c r="F103" s="40" t="n">
        <f aca="false">Scenarios!$F$41*(1-Scenarios!$F$40)^(F$4-1)</f>
        <v>214268.440895253</v>
      </c>
      <c r="G103" s="40" t="n">
        <f aca="false">Scenarios!$F$41*(1-Scenarios!$F$40)^(G$4-1)</f>
        <v>185985.006697079</v>
      </c>
      <c r="H103" s="40" t="n">
        <f aca="false">Scenarios!$F$41*(1-Scenarios!$F$40)^(H$4-1)</f>
        <v>161434.985813065</v>
      </c>
      <c r="I103" s="40" t="n">
        <f aca="false">Scenarios!$F$41*(1-Scenarios!$F$40)^(I$4-1)</f>
        <v>140125.56768574</v>
      </c>
      <c r="J103" s="40" t="n">
        <f aca="false">Scenarios!$F$41*(1-Scenarios!$F$40)^(J$4-1)</f>
        <v>121628.992751223</v>
      </c>
      <c r="K103" s="40" t="n">
        <f aca="false">Scenarios!$F$41*(1-Scenarios!$F$40)^(K$4-1)</f>
        <v>105573.965708061</v>
      </c>
      <c r="L103" s="40" t="n">
        <f aca="false">Scenarios!$F$41*(1-Scenarios!$F$40)^(L$4-1)</f>
        <v>91638.2022345972</v>
      </c>
      <c r="M103" s="40" t="n">
        <f aca="false">Scenarios!$F$41*(1-Scenarios!$F$40)^(M$4-1)</f>
        <v>79541.9595396303</v>
      </c>
      <c r="N103" s="40" t="n">
        <f aca="false">Scenarios!$F$41*(1-Scenarios!$F$40)^(N$4-1)</f>
        <v>69042.4208803991</v>
      </c>
      <c r="O103" s="40" t="n">
        <f aca="false">Scenarios!$F$41*(1-Scenarios!$F$40)^(O$4-1)</f>
        <v>59928.8213241864</v>
      </c>
      <c r="P103" s="40" t="n">
        <f aca="false">Scenarios!$F$41*(1-Scenarios!$F$40)^(P$4-1)</f>
        <v>52018.2169093938</v>
      </c>
      <c r="Q103" s="40" t="n">
        <f aca="false">Scenarios!$F$41*(1-Scenarios!$F$40)^(Q$4-1)</f>
        <v>45151.8122773538</v>
      </c>
      <c r="R103" s="40" t="n">
        <f aca="false">Scenarios!$F$41*(1-Scenarios!$F$40)^(R$4-1)</f>
        <v>39191.7730567431</v>
      </c>
      <c r="S103" s="40" t="n">
        <f aca="false">Scenarios!$F$41*(1-Scenarios!$F$40)^(S$4-1)</f>
        <v>34018.459013253</v>
      </c>
      <c r="T103" s="40" t="n">
        <f aca="false">Scenarios!$F$41*(1-Scenarios!$F$40)^(T$4-1)</f>
        <v>29528.0224235036</v>
      </c>
      <c r="U103" s="40" t="n">
        <f aca="false">Scenarios!$F$41*(1-Scenarios!$F$40)^(U$4-1)</f>
        <v>25630.3234636012</v>
      </c>
      <c r="V103" s="40" t="n">
        <f aca="false">Scenarios!$F$41*(1-Scenarios!$F$40)^(V$4-1)</f>
        <v>22247.1207664058</v>
      </c>
      <c r="W103" s="40" t="n">
        <f aca="false">Scenarios!$F$41*(1-Scenarios!$F$40)^(W$4-1)</f>
        <v>19310.5008252402</v>
      </c>
      <c r="X103" s="40" t="n">
        <f aca="false">Scenarios!$F$41*(1-Scenarios!$F$40)^(X$4-1)</f>
        <v>16761.5147163085</v>
      </c>
      <c r="Y103" s="40" t="n">
        <f aca="false">Scenarios!$F$41*(1-Scenarios!$F$40)^(Y$4-1)</f>
        <v>14548.9947737558</v>
      </c>
      <c r="Z103" s="40" t="n">
        <f aca="false">Scenarios!$F$41*(1-Scenarios!$F$40)^(Z$4-1)</f>
        <v>12628.52746362</v>
      </c>
      <c r="AA103" s="40" t="n">
        <f aca="false">Scenarios!$F$41*(1-Scenarios!$F$40)^(AA$4-1)</f>
        <v>10961.5618384222</v>
      </c>
      <c r="AB103" s="40" t="n">
        <f aca="false">Scenarios!$F$41*(1-Scenarios!$F$40)^(AB$4-1)</f>
        <v>9514.63567575046</v>
      </c>
    </row>
    <row r="104" customFormat="false" ht="15" hidden="false" customHeight="false" outlineLevel="0" collapsed="false">
      <c r="A104" s="14"/>
      <c r="B104" s="9"/>
      <c r="C104" s="9" t="s">
        <v>196</v>
      </c>
      <c r="D104" s="36" t="n">
        <f aca="false">SUM(E104:AB104)</f>
        <v>1</v>
      </c>
      <c r="E104" s="21" t="n">
        <f aca="false">E103/$D$103</f>
        <v>0.136569047626796</v>
      </c>
      <c r="F104" s="21" t="n">
        <f aca="false">F103/$D$103</f>
        <v>0.118541933340059</v>
      </c>
      <c r="G104" s="21" t="n">
        <f aca="false">G103/$D$103</f>
        <v>0.102894398139172</v>
      </c>
      <c r="H104" s="21" t="n">
        <f aca="false">H103/$D$103</f>
        <v>0.0893123375848009</v>
      </c>
      <c r="I104" s="21" t="n">
        <f aca="false">I103/$D$103</f>
        <v>0.0775231090236072</v>
      </c>
      <c r="J104" s="21" t="n">
        <f aca="false">J103/$D$103</f>
        <v>0.067290058632491</v>
      </c>
      <c r="K104" s="21" t="n">
        <f aca="false">K103/$D$103</f>
        <v>0.0584077708930022</v>
      </c>
      <c r="L104" s="21" t="n">
        <f aca="false">L103/$D$103</f>
        <v>0.0506979451351259</v>
      </c>
      <c r="M104" s="21" t="n">
        <f aca="false">M103/$D$103</f>
        <v>0.0440058163772893</v>
      </c>
      <c r="N104" s="21" t="n">
        <f aca="false">N103/$D$103</f>
        <v>0.0381970486154871</v>
      </c>
      <c r="O104" s="21" t="n">
        <f aca="false">O103/$D$103</f>
        <v>0.0331550381982428</v>
      </c>
      <c r="P104" s="21" t="n">
        <f aca="false">P103/$D$103</f>
        <v>0.0287785731560747</v>
      </c>
      <c r="Q104" s="21" t="n">
        <f aca="false">Q103/$D$103</f>
        <v>0.0249798014994729</v>
      </c>
      <c r="R104" s="21" t="n">
        <f aca="false">R103/$D$103</f>
        <v>0.0216824677015425</v>
      </c>
      <c r="S104" s="21" t="n">
        <f aca="false">S103/$D$103</f>
        <v>0.0188203819649389</v>
      </c>
      <c r="T104" s="21" t="n">
        <f aca="false">T103/$D$103</f>
        <v>0.0163360915455669</v>
      </c>
      <c r="U104" s="21" t="n">
        <f aca="false">U103/$D$103</f>
        <v>0.0141797274615521</v>
      </c>
      <c r="V104" s="21" t="n">
        <f aca="false">V103/$D$103</f>
        <v>0.0123080034366272</v>
      </c>
      <c r="W104" s="21" t="n">
        <f aca="false">W103/$D$103</f>
        <v>0.0106833469829924</v>
      </c>
      <c r="X104" s="21" t="n">
        <f aca="false">X103/$D$103</f>
        <v>0.00927314518123742</v>
      </c>
      <c r="Y104" s="21" t="n">
        <f aca="false">Y103/$D$103</f>
        <v>0.00804909001731408</v>
      </c>
      <c r="Z104" s="21" t="n">
        <f aca="false">Z103/$D$103</f>
        <v>0.00698661013502863</v>
      </c>
      <c r="AA104" s="21" t="n">
        <f aca="false">AA103/$D$103</f>
        <v>0.00606437759720485</v>
      </c>
      <c r="AB104" s="21" t="n">
        <f aca="false">AB103/$D$103</f>
        <v>0.00526387975437381</v>
      </c>
    </row>
    <row r="105" customFormat="false" ht="15" hidden="false" customHeight="false" outlineLevel="0" collapsed="false">
      <c r="A105" s="14"/>
      <c r="B105" s="9"/>
      <c r="C105" s="9" t="s">
        <v>197</v>
      </c>
      <c r="D105" s="27" t="n">
        <f aca="false">SUM(E105:AB105)</f>
        <v>2195863.95387901</v>
      </c>
      <c r="E105" s="40" t="n">
        <f aca="false">E103*'Title Inputs'!$F$16*'Title Inputs'!$F$11*Scenarios!$F$42/60</f>
        <v>299887.048899269</v>
      </c>
      <c r="F105" s="40" t="n">
        <f aca="false">F103*'Title Inputs'!$F$16*'Title Inputs'!$F$11*Scenarios!$F$42/60</f>
        <v>260301.958444565</v>
      </c>
      <c r="G105" s="40" t="n">
        <f aca="false">G103*'Title Inputs'!$F$16*'Title Inputs'!$F$11*Scenarios!$F$42/60</f>
        <v>225942.099929883</v>
      </c>
      <c r="H105" s="40" t="n">
        <f aca="false">H103*'Title Inputs'!$F$16*'Title Inputs'!$F$11*Scenarios!$F$42/60</f>
        <v>196117.742739138</v>
      </c>
      <c r="I105" s="40" t="n">
        <f aca="false">I103*'Title Inputs'!$F$16*'Title Inputs'!$F$11*Scenarios!$F$42/60</f>
        <v>170230.200697572</v>
      </c>
      <c r="J105" s="40" t="n">
        <f aca="false">J103*'Title Inputs'!$F$16*'Title Inputs'!$F$11*Scenarios!$F$42/60</f>
        <v>147759.814205492</v>
      </c>
      <c r="K105" s="40" t="n">
        <f aca="false">K103*'Title Inputs'!$F$16*'Title Inputs'!$F$11*Scenarios!$F$42/60</f>
        <v>128255.518730367</v>
      </c>
      <c r="L105" s="40" t="n">
        <f aca="false">L103*'Title Inputs'!$F$16*'Title Inputs'!$F$11*Scenarios!$F$42/60</f>
        <v>111325.790257959</v>
      </c>
      <c r="M105" s="40" t="n">
        <f aca="false">M103*'Title Inputs'!$F$16*'Title Inputs'!$F$11*Scenarios!$F$42/60</f>
        <v>96630.7859439083</v>
      </c>
      <c r="N105" s="40" t="n">
        <f aca="false">N103*'Title Inputs'!$F$16*'Title Inputs'!$F$11*Scenarios!$F$42/60</f>
        <v>83875.5221993124</v>
      </c>
      <c r="O105" s="40" t="n">
        <f aca="false">O103*'Title Inputs'!$F$16*'Title Inputs'!$F$11*Scenarios!$F$42/60</f>
        <v>72803.9532690032</v>
      </c>
      <c r="P105" s="40" t="n">
        <f aca="false">P103*'Title Inputs'!$F$16*'Title Inputs'!$F$11*Scenarios!$F$42/60</f>
        <v>63193.8314374948</v>
      </c>
      <c r="Q105" s="40" t="n">
        <f aca="false">Q103*'Title Inputs'!$F$16*'Title Inputs'!$F$11*Scenarios!$F$42/60</f>
        <v>54852.2456877454</v>
      </c>
      <c r="R105" s="40" t="n">
        <f aca="false">R103*'Title Inputs'!$F$16*'Title Inputs'!$F$11*Scenarios!$F$42/60</f>
        <v>47611.7492569631</v>
      </c>
      <c r="S105" s="40" t="n">
        <f aca="false">S103*'Title Inputs'!$F$16*'Title Inputs'!$F$11*Scenarios!$F$42/60</f>
        <v>41326.9983550439</v>
      </c>
      <c r="T105" s="40" t="n">
        <f aca="false">T103*'Title Inputs'!$F$16*'Title Inputs'!$F$11*Scenarios!$F$42/60</f>
        <v>35871.8345721781</v>
      </c>
      <c r="U105" s="40" t="n">
        <f aca="false">U103*'Title Inputs'!$F$16*'Title Inputs'!$F$11*Scenarios!$F$42/60</f>
        <v>31136.7524086506</v>
      </c>
      <c r="V105" s="40" t="n">
        <f aca="false">V103*'Title Inputs'!$F$16*'Title Inputs'!$F$11*Scenarios!$F$42/60</f>
        <v>27026.7010907087</v>
      </c>
      <c r="W105" s="40" t="n">
        <f aca="false">W103*'Title Inputs'!$F$16*'Title Inputs'!$F$11*Scenarios!$F$42/60</f>
        <v>23459.1765467352</v>
      </c>
      <c r="X105" s="40" t="n">
        <f aca="false">X103*'Title Inputs'!$F$16*'Title Inputs'!$F$11*Scenarios!$F$42/60</f>
        <v>20362.5652425661</v>
      </c>
      <c r="Y105" s="40" t="n">
        <f aca="false">Y103*'Title Inputs'!$F$16*'Title Inputs'!$F$11*Scenarios!$F$42/60</f>
        <v>17674.7066305474</v>
      </c>
      <c r="Z105" s="40" t="n">
        <f aca="false">Z103*'Title Inputs'!$F$16*'Title Inputs'!$F$11*Scenarios!$F$42/60</f>
        <v>15341.6453553152</v>
      </c>
      <c r="AA105" s="40" t="n">
        <f aca="false">AA103*'Title Inputs'!$F$16*'Title Inputs'!$F$11*Scenarios!$F$42/60</f>
        <v>13316.5481684135</v>
      </c>
      <c r="AB105" s="40" t="n">
        <f aca="false">AB103*'Title Inputs'!$F$16*'Title Inputs'!$F$11*Scenarios!$F$42/60</f>
        <v>11558.763810183</v>
      </c>
    </row>
    <row r="106" customFormat="false" ht="15" hidden="false" customHeight="false" outlineLevel="0" collapsed="false">
      <c r="A106" s="14"/>
      <c r="B106" s="9"/>
      <c r="C106" s="9" t="s">
        <v>198</v>
      </c>
      <c r="D106" s="27" t="n">
        <f aca="false">SUM(E106:AB106)</f>
        <v>25869473.2406487</v>
      </c>
      <c r="E106" s="40" t="n">
        <f aca="false">E105*'Title Inputs'!$F$24*Scenarios!$F$43</f>
        <v>3532969.32308229</v>
      </c>
      <c r="F106" s="40" t="n">
        <f aca="false">F105*'Title Inputs'!$F$24*Scenarios!$F$43</f>
        <v>3066617.37243542</v>
      </c>
      <c r="G106" s="40" t="n">
        <f aca="false">G105*'Title Inputs'!$F$24*Scenarios!$F$43</f>
        <v>2661823.87927395</v>
      </c>
      <c r="H106" s="40" t="n">
        <f aca="false">H105*'Title Inputs'!$F$24*Scenarios!$F$43</f>
        <v>2310463.12720979</v>
      </c>
      <c r="I106" s="40" t="n">
        <f aca="false">I105*'Title Inputs'!$F$24*Scenarios!$F$43</f>
        <v>2005481.99441809</v>
      </c>
      <c r="J106" s="40" t="n">
        <f aca="false">J105*'Title Inputs'!$F$24*Scenarios!$F$43</f>
        <v>1740758.37115491</v>
      </c>
      <c r="K106" s="40" t="n">
        <f aca="false">K105*'Title Inputs'!$F$24*Scenarios!$F$43</f>
        <v>1510978.26616246</v>
      </c>
      <c r="L106" s="40" t="n">
        <f aca="false">L105*'Title Inputs'!$F$24*Scenarios!$F$43</f>
        <v>1311529.13502901</v>
      </c>
      <c r="M106" s="40" t="n">
        <f aca="false">M105*'Title Inputs'!$F$24*Scenarios!$F$43</f>
        <v>1138407.28920518</v>
      </c>
      <c r="N106" s="40" t="n">
        <f aca="false">N105*'Title Inputs'!$F$24*Scenarios!$F$43</f>
        <v>988137.5270301</v>
      </c>
      <c r="O106" s="40" t="n">
        <f aca="false">O105*'Title Inputs'!$F$24*Scenarios!$F$43</f>
        <v>857703.373462126</v>
      </c>
      <c r="P106" s="40" t="n">
        <f aca="false">P105*'Title Inputs'!$F$24*Scenarios!$F$43</f>
        <v>744486.528165126</v>
      </c>
      <c r="Q106" s="40" t="n">
        <f aca="false">Q105*'Title Inputs'!$F$24*Scenarios!$F$43</f>
        <v>646214.306447329</v>
      </c>
      <c r="R106" s="40" t="n">
        <f aca="false">R105*'Title Inputs'!$F$24*Scenarios!$F$43</f>
        <v>560914.017996282</v>
      </c>
      <c r="S106" s="40" t="n">
        <f aca="false">S105*'Title Inputs'!$F$24*Scenarios!$F$43</f>
        <v>486873.367620773</v>
      </c>
      <c r="T106" s="40" t="n">
        <f aca="false">T105*'Title Inputs'!$F$24*Scenarios!$F$43</f>
        <v>422606.083094831</v>
      </c>
      <c r="U106" s="40" t="n">
        <f aca="false">U105*'Title Inputs'!$F$24*Scenarios!$F$43</f>
        <v>366822.080126313</v>
      </c>
      <c r="V106" s="40" t="n">
        <f aca="false">V105*'Title Inputs'!$F$24*Scenarios!$F$43</f>
        <v>318401.56554964</v>
      </c>
      <c r="W106" s="40" t="n">
        <f aca="false">W105*'Title Inputs'!$F$24*Scenarios!$F$43</f>
        <v>276372.558897087</v>
      </c>
      <c r="X106" s="40" t="n">
        <f aca="false">X105*'Title Inputs'!$F$24*Scenarios!$F$43</f>
        <v>239891.381122672</v>
      </c>
      <c r="Y106" s="40" t="n">
        <f aca="false">Y105*'Title Inputs'!$F$24*Scenarios!$F$43</f>
        <v>208225.718814479</v>
      </c>
      <c r="Z106" s="40" t="n">
        <f aca="false">Z105*'Title Inputs'!$F$24*Scenarios!$F$43</f>
        <v>180739.923930968</v>
      </c>
      <c r="AA106" s="40" t="n">
        <f aca="false">AA105*'Title Inputs'!$F$24*Scenarios!$F$43</f>
        <v>156882.25397208</v>
      </c>
      <c r="AB106" s="40" t="n">
        <f aca="false">AB105*'Title Inputs'!$F$24*Scenarios!$F$43</f>
        <v>136173.796447766</v>
      </c>
    </row>
    <row r="107" customFormat="false" ht="15" hidden="false" customHeight="false" outlineLevel="0" collapsed="false">
      <c r="A107" s="14"/>
      <c r="B107" s="9"/>
      <c r="C107" s="9" t="s">
        <v>199</v>
      </c>
      <c r="D107" s="34" t="n">
        <f aca="false">SUM(E107:AB107)</f>
        <v>562273.000885499</v>
      </c>
      <c r="E107" s="41" t="n">
        <f aca="false">E106/1000*Scenarios!$F$44</f>
        <v>76789.0882371935</v>
      </c>
      <c r="F107" s="41" t="n">
        <f aca="false">F106/1000*Scenarios!$F$44</f>
        <v>66652.9285898839</v>
      </c>
      <c r="G107" s="41" t="n">
        <f aca="false">G106/1000*Scenarios!$F$44</f>
        <v>57854.7420160192</v>
      </c>
      <c r="H107" s="41" t="n">
        <f aca="false">H106/1000*Scenarios!$F$44</f>
        <v>50217.9160699047</v>
      </c>
      <c r="I107" s="41" t="n">
        <f aca="false">I106/1000*Scenarios!$F$44</f>
        <v>43589.1511486773</v>
      </c>
      <c r="J107" s="41" t="n">
        <f aca="false">J106/1000*Scenarios!$F$44</f>
        <v>37835.3831970519</v>
      </c>
      <c r="K107" s="41" t="n">
        <f aca="false">K106/1000*Scenarios!$F$44</f>
        <v>32841.112615041</v>
      </c>
      <c r="L107" s="41" t="n">
        <f aca="false">L106/1000*Scenarios!$F$44</f>
        <v>28506.0857498556</v>
      </c>
      <c r="M107" s="41" t="n">
        <f aca="false">M106/1000*Scenarios!$F$44</f>
        <v>24743.2824308747</v>
      </c>
      <c r="N107" s="41" t="n">
        <f aca="false">N106/1000*Scenarios!$F$44</f>
        <v>21477.1691499992</v>
      </c>
      <c r="O107" s="41" t="n">
        <f aca="false">O106/1000*Scenarios!$F$44</f>
        <v>18642.1828221993</v>
      </c>
      <c r="P107" s="41" t="n">
        <f aca="false">P106/1000*Scenarios!$F$44</f>
        <v>16181.414689669</v>
      </c>
      <c r="Q107" s="41" t="n">
        <f aca="false">Q106/1000*Scenarios!$F$44</f>
        <v>14045.4679506327</v>
      </c>
      <c r="R107" s="41" t="n">
        <f aca="false">R106/1000*Scenarios!$F$44</f>
        <v>12191.4661811492</v>
      </c>
      <c r="S107" s="41" t="n">
        <f aca="false">S106/1000*Scenarios!$F$44</f>
        <v>10582.1926452375</v>
      </c>
      <c r="T107" s="41" t="n">
        <f aca="false">T106/1000*Scenarios!$F$44</f>
        <v>9185.34321606614</v>
      </c>
      <c r="U107" s="41" t="n">
        <f aca="false">U106/1000*Scenarios!$F$44</f>
        <v>7972.87791154541</v>
      </c>
      <c r="V107" s="41" t="n">
        <f aca="false">V106/1000*Scenarios!$F$44</f>
        <v>6920.45802722142</v>
      </c>
      <c r="W107" s="41" t="n">
        <f aca="false">W106/1000*Scenarios!$F$44</f>
        <v>6006.95756762819</v>
      </c>
      <c r="X107" s="41" t="n">
        <f aca="false">X106/1000*Scenarios!$F$44</f>
        <v>5214.03916870127</v>
      </c>
      <c r="Y107" s="41" t="n">
        <f aca="false">Y106/1000*Scenarios!$F$44</f>
        <v>4525.7859984327</v>
      </c>
      <c r="Z107" s="41" t="n">
        <f aca="false">Z106/1000*Scenarios!$F$44</f>
        <v>3928.38224663959</v>
      </c>
      <c r="AA107" s="41" t="n">
        <f aca="false">AA106/1000*Scenarios!$F$44</f>
        <v>3409.83579008316</v>
      </c>
      <c r="AB107" s="41" t="n">
        <f aca="false">AB106/1000*Scenarios!$F$44</f>
        <v>2959.73746579218</v>
      </c>
    </row>
    <row r="109" customFormat="false" ht="15" hidden="false" customHeight="false" outlineLevel="0" collapsed="false">
      <c r="A109" s="14" t="s">
        <v>210</v>
      </c>
      <c r="B109" s="8" t="s">
        <v>126</v>
      </c>
      <c r="C109" s="9" t="s">
        <v>195</v>
      </c>
      <c r="D109" s="27" t="n">
        <f aca="false">SUM(E109:AB109)</f>
        <v>928941.346655077</v>
      </c>
      <c r="E109" s="40" t="n">
        <f aca="false">Scenarios!$G$41*(1-Scenarios!$G$40)^(E$4-1)</f>
        <v>135338.260793956</v>
      </c>
      <c r="F109" s="40" t="n">
        <f aca="false">Scenarios!$G$41*(1-Scenarios!$G$40)^(F$4-1)</f>
        <v>116120.227761215</v>
      </c>
      <c r="G109" s="40" t="n">
        <f aca="false">Scenarios!$G$41*(1-Scenarios!$G$40)^(G$4-1)</f>
        <v>99631.1554191222</v>
      </c>
      <c r="H109" s="40" t="n">
        <f aca="false">Scenarios!$G$41*(1-Scenarios!$G$40)^(H$4-1)</f>
        <v>85483.5313496068</v>
      </c>
      <c r="I109" s="40" t="n">
        <f aca="false">Scenarios!$G$41*(1-Scenarios!$G$40)^(I$4-1)</f>
        <v>73344.8698979627</v>
      </c>
      <c r="J109" s="40" t="n">
        <f aca="false">Scenarios!$G$41*(1-Scenarios!$G$40)^(J$4-1)</f>
        <v>62929.898372452</v>
      </c>
      <c r="K109" s="40" t="n">
        <f aca="false">Scenarios!$G$41*(1-Scenarios!$G$40)^(K$4-1)</f>
        <v>53993.8528035638</v>
      </c>
      <c r="L109" s="40" t="n">
        <f aca="false">Scenarios!$G$41*(1-Scenarios!$G$40)^(L$4-1)</f>
        <v>46326.7257054577</v>
      </c>
      <c r="M109" s="40" t="n">
        <f aca="false">Scenarios!$G$41*(1-Scenarios!$G$40)^(M$4-1)</f>
        <v>39748.3306552827</v>
      </c>
      <c r="N109" s="40" t="n">
        <f aca="false">Scenarios!$G$41*(1-Scenarios!$G$40)^(N$4-1)</f>
        <v>34104.0677022326</v>
      </c>
      <c r="O109" s="40" t="n">
        <f aca="false">Scenarios!$G$41*(1-Scenarios!$G$40)^(O$4-1)</f>
        <v>29261.2900885155</v>
      </c>
      <c r="P109" s="40" t="n">
        <f aca="false">Scenarios!$G$41*(1-Scenarios!$G$40)^(P$4-1)</f>
        <v>25106.1868959463</v>
      </c>
      <c r="Q109" s="40" t="n">
        <f aca="false">Scenarios!$G$41*(1-Scenarios!$G$40)^(Q$4-1)</f>
        <v>21541.108356722</v>
      </c>
      <c r="R109" s="40" t="n">
        <f aca="false">Scenarios!$G$41*(1-Scenarios!$G$40)^(R$4-1)</f>
        <v>18482.2709700674</v>
      </c>
      <c r="S109" s="40" t="n">
        <f aca="false">Scenarios!$G$41*(1-Scenarios!$G$40)^(S$4-1)</f>
        <v>15857.7884923179</v>
      </c>
      <c r="T109" s="40" t="n">
        <f aca="false">Scenarios!$G$41*(1-Scenarios!$G$40)^(T$4-1)</f>
        <v>13605.9825264087</v>
      </c>
      <c r="U109" s="40" t="n">
        <f aca="false">Scenarios!$G$41*(1-Scenarios!$G$40)^(U$4-1)</f>
        <v>11673.9330076587</v>
      </c>
      <c r="V109" s="40" t="n">
        <f aca="false">Scenarios!$G$41*(1-Scenarios!$G$40)^(V$4-1)</f>
        <v>10016.2345205712</v>
      </c>
      <c r="W109" s="40" t="n">
        <f aca="false">Scenarios!$G$41*(1-Scenarios!$G$40)^(W$4-1)</f>
        <v>8593.92921865005</v>
      </c>
      <c r="X109" s="40" t="n">
        <f aca="false">Scenarios!$G$41*(1-Scenarios!$G$40)^(X$4-1)</f>
        <v>7373.59126960174</v>
      </c>
      <c r="Y109" s="40" t="n">
        <f aca="false">Scenarios!$G$41*(1-Scenarios!$G$40)^(Y$4-1)</f>
        <v>6326.5413093183</v>
      </c>
      <c r="Z109" s="40" t="n">
        <f aca="false">Scenarios!$G$41*(1-Scenarios!$G$40)^(Z$4-1)</f>
        <v>5428.1724433951</v>
      </c>
      <c r="AA109" s="40" t="n">
        <f aca="false">Scenarios!$G$41*(1-Scenarios!$G$40)^(AA$4-1)</f>
        <v>4657.37195643299</v>
      </c>
      <c r="AB109" s="40" t="n">
        <f aca="false">Scenarios!$G$41*(1-Scenarios!$G$40)^(AB$4-1)</f>
        <v>3996.02513861951</v>
      </c>
    </row>
    <row r="110" customFormat="false" ht="15" hidden="false" customHeight="false" outlineLevel="0" collapsed="false">
      <c r="A110" s="14"/>
      <c r="B110" s="9"/>
      <c r="C110" s="9" t="s">
        <v>196</v>
      </c>
      <c r="D110" s="36" t="n">
        <f aca="false">SUM(E110:AB110)</f>
        <v>1</v>
      </c>
      <c r="E110" s="21" t="n">
        <f aca="false">E109/$D$109</f>
        <v>0.145690856889169</v>
      </c>
      <c r="F110" s="21" t="n">
        <f aca="false">F109/$D$109</f>
        <v>0.125002755210907</v>
      </c>
      <c r="G110" s="21" t="n">
        <f aca="false">G109/$D$109</f>
        <v>0.107252363970958</v>
      </c>
      <c r="H110" s="21" t="n">
        <f aca="false">H109/$D$109</f>
        <v>0.092022528287082</v>
      </c>
      <c r="I110" s="21" t="n">
        <f aca="false">I109/$D$109</f>
        <v>0.0789553292703163</v>
      </c>
      <c r="J110" s="21" t="n">
        <f aca="false">J109/$D$109</f>
        <v>0.0677436725139314</v>
      </c>
      <c r="K110" s="21" t="n">
        <f aca="false">K109/$D$109</f>
        <v>0.0581240710169531</v>
      </c>
      <c r="L110" s="21" t="n">
        <f aca="false">L109/$D$109</f>
        <v>0.0498704529325458</v>
      </c>
      <c r="M110" s="21" t="n">
        <f aca="false">M109/$D$109</f>
        <v>0.0427888486161243</v>
      </c>
      <c r="N110" s="21" t="n">
        <f aca="false">N109/$D$109</f>
        <v>0.0367128321126346</v>
      </c>
      <c r="O110" s="21" t="n">
        <f aca="false">O109/$D$109</f>
        <v>0.0314996099526405</v>
      </c>
      <c r="P110" s="21" t="n">
        <f aca="false">P109/$D$109</f>
        <v>0.0270266653393656</v>
      </c>
      <c r="Q110" s="21" t="n">
        <f aca="false">Q109/$D$109</f>
        <v>0.0231888788611757</v>
      </c>
      <c r="R110" s="21" t="n">
        <f aca="false">R109/$D$109</f>
        <v>0.0198960580628887</v>
      </c>
      <c r="S110" s="21" t="n">
        <f aca="false">S109/$D$109</f>
        <v>0.0170708178179585</v>
      </c>
      <c r="T110" s="21" t="n">
        <f aca="false">T109/$D$109</f>
        <v>0.0146467616878084</v>
      </c>
      <c r="U110" s="21" t="n">
        <f aca="false">U109/$D$109</f>
        <v>0.0125669215281396</v>
      </c>
      <c r="V110" s="21" t="n">
        <f aca="false">V109/$D$109</f>
        <v>0.0107824186711438</v>
      </c>
      <c r="W110" s="21" t="n">
        <f aca="false">W109/$D$109</f>
        <v>0.00925131521984137</v>
      </c>
      <c r="X110" s="21" t="n">
        <f aca="false">X109/$D$109</f>
        <v>0.00793762845862389</v>
      </c>
      <c r="Y110" s="21" t="n">
        <f aca="false">Y109/$D$109</f>
        <v>0.0068104852174993</v>
      </c>
      <c r="Z110" s="21" t="n">
        <f aca="false">Z109/$D$109</f>
        <v>0.0058433963166144</v>
      </c>
      <c r="AA110" s="21" t="n">
        <f aca="false">AA109/$D$109</f>
        <v>0.00501363403965516</v>
      </c>
      <c r="AB110" s="21" t="n">
        <f aca="false">AB109/$D$109</f>
        <v>0.00430169800602412</v>
      </c>
    </row>
    <row r="111" customFormat="false" ht="15" hidden="false" customHeight="false" outlineLevel="0" collapsed="false">
      <c r="A111" s="14"/>
      <c r="B111" s="9"/>
      <c r="C111" s="9" t="s">
        <v>197</v>
      </c>
      <c r="D111" s="27" t="n">
        <f aca="false">SUM(E111:AB111)</f>
        <v>759816.42720036</v>
      </c>
      <c r="E111" s="40" t="n">
        <f aca="false">E109*'Title Inputs'!$G$16*'Title Inputs'!$G$11*Scenarios!$G$42/60</f>
        <v>110698.306357287</v>
      </c>
      <c r="F111" s="40" t="n">
        <f aca="false">F109*'Title Inputs'!$G$16*'Title Inputs'!$G$11*Scenarios!$G$42/60</f>
        <v>94979.1468545524</v>
      </c>
      <c r="G111" s="40" t="n">
        <f aca="false">G109*'Title Inputs'!$G$16*'Title Inputs'!$G$11*Scenarios!$G$42/60</f>
        <v>81492.1080012059</v>
      </c>
      <c r="H111" s="40" t="n">
        <f aca="false">H109*'Title Inputs'!$G$16*'Title Inputs'!$G$11*Scenarios!$G$42/60</f>
        <v>69920.2286650347</v>
      </c>
      <c r="I111" s="40" t="n">
        <f aca="false">I109*'Title Inputs'!$G$16*'Title Inputs'!$G$11*Scenarios!$G$42/60</f>
        <v>59991.5561945998</v>
      </c>
      <c r="J111" s="40" t="n">
        <f aca="false">J109*'Title Inputs'!$G$16*'Title Inputs'!$G$11*Scenarios!$G$42/60</f>
        <v>51472.7552149666</v>
      </c>
      <c r="K111" s="40" t="n">
        <f aca="false">K109*'Title Inputs'!$G$16*'Title Inputs'!$G$11*Scenarios!$G$42/60</f>
        <v>44163.6239744414</v>
      </c>
      <c r="L111" s="40" t="n">
        <f aca="false">L109*'Title Inputs'!$G$16*'Title Inputs'!$G$11*Scenarios!$G$42/60</f>
        <v>37892.3893700707</v>
      </c>
      <c r="M111" s="40" t="n">
        <f aca="false">M109*'Title Inputs'!$G$16*'Title Inputs'!$G$11*Scenarios!$G$42/60</f>
        <v>32511.6700795206</v>
      </c>
      <c r="N111" s="40" t="n">
        <f aca="false">N109*'Title Inputs'!$G$16*'Title Inputs'!$G$11*Scenarios!$G$42/60</f>
        <v>27895.0129282287</v>
      </c>
      <c r="O111" s="40" t="n">
        <f aca="false">O109*'Title Inputs'!$G$16*'Title Inputs'!$G$11*Scenarios!$G$42/60</f>
        <v>23933.9210924202</v>
      </c>
      <c r="P111" s="40" t="n">
        <f aca="false">P109*'Title Inputs'!$G$16*'Title Inputs'!$G$11*Scenarios!$G$42/60</f>
        <v>20535.3042972966</v>
      </c>
      <c r="Q111" s="40" t="n">
        <f aca="false">Q109*'Title Inputs'!$G$16*'Title Inputs'!$G$11*Scenarios!$G$42/60</f>
        <v>17619.2910870804</v>
      </c>
      <c r="R111" s="40" t="n">
        <f aca="false">R109*'Title Inputs'!$G$16*'Title Inputs'!$G$11*Scenarios!$G$42/60</f>
        <v>15117.351752715</v>
      </c>
      <c r="S111" s="40" t="n">
        <f aca="false">S109*'Title Inputs'!$G$16*'Title Inputs'!$G$11*Scenarios!$G$42/60</f>
        <v>12970.6878038295</v>
      </c>
      <c r="T111" s="40" t="n">
        <f aca="false">T109*'Title Inputs'!$G$16*'Title Inputs'!$G$11*Scenarios!$G$42/60</f>
        <v>11128.8501356857</v>
      </c>
      <c r="U111" s="40" t="n">
        <f aca="false">U109*'Title Inputs'!$G$16*'Title Inputs'!$G$11*Scenarios!$G$42/60</f>
        <v>9548.55341641833</v>
      </c>
      <c r="V111" s="40" t="n">
        <f aca="false">V109*'Title Inputs'!$G$16*'Title Inputs'!$G$11*Scenarios!$G$42/60</f>
        <v>8192.65883128693</v>
      </c>
      <c r="W111" s="40" t="n">
        <f aca="false">W109*'Title Inputs'!$G$16*'Title Inputs'!$G$11*Scenarios!$G$42/60</f>
        <v>7029.30127724419</v>
      </c>
      <c r="X111" s="40" t="n">
        <f aca="false">X109*'Title Inputs'!$G$16*'Title Inputs'!$G$11*Scenarios!$G$42/60</f>
        <v>6031.14049587551</v>
      </c>
      <c r="Y111" s="40" t="n">
        <f aca="false">Y109*'Title Inputs'!$G$16*'Title Inputs'!$G$11*Scenarios!$G$42/60</f>
        <v>5174.71854546119</v>
      </c>
      <c r="Z111" s="40" t="n">
        <f aca="false">Z109*'Title Inputs'!$G$16*'Title Inputs'!$G$11*Scenarios!$G$42/60</f>
        <v>4439.9085120057</v>
      </c>
      <c r="AA111" s="40" t="n">
        <f aca="false">AA109*'Title Inputs'!$G$16*'Title Inputs'!$G$11*Scenarios!$G$42/60</f>
        <v>3809.44150330089</v>
      </c>
      <c r="AB111" s="40" t="n">
        <f aca="false">AB109*'Title Inputs'!$G$16*'Title Inputs'!$G$11*Scenarios!$G$42/60</f>
        <v>3268.50080983216</v>
      </c>
    </row>
    <row r="112" customFormat="false" ht="15" hidden="false" customHeight="false" outlineLevel="0" collapsed="false">
      <c r="A112" s="14"/>
      <c r="B112" s="9"/>
      <c r="C112" s="9" t="s">
        <v>198</v>
      </c>
      <c r="D112" s="27" t="n">
        <f aca="false">SUM(E112:AB112)</f>
        <v>8718893.50212413</v>
      </c>
      <c r="E112" s="40" t="n">
        <f aca="false">E111*'Title Inputs'!$G$24*Scenarios!$G$43</f>
        <v>1270263.06544987</v>
      </c>
      <c r="F112" s="40" t="n">
        <f aca="false">F111*'Title Inputs'!$G$24*Scenarios!$G$43</f>
        <v>1089885.71015599</v>
      </c>
      <c r="G112" s="40" t="n">
        <f aca="false">G111*'Title Inputs'!$G$24*Scenarios!$G$43</f>
        <v>935121.939313838</v>
      </c>
      <c r="H112" s="40" t="n">
        <f aca="false">H111*'Title Inputs'!$G$24*Scenarios!$G$43</f>
        <v>802334.623931273</v>
      </c>
      <c r="I112" s="40" t="n">
        <f aca="false">I111*'Title Inputs'!$G$24*Scenarios!$G$43</f>
        <v>688403.107333033</v>
      </c>
      <c r="J112" s="40" t="n">
        <f aca="false">J111*'Title Inputs'!$G$24*Scenarios!$G$43</f>
        <v>590649.866091742</v>
      </c>
      <c r="K112" s="40" t="n">
        <f aca="false">K111*'Title Inputs'!$G$24*Scenarios!$G$43</f>
        <v>506777.585106715</v>
      </c>
      <c r="L112" s="40" t="n">
        <f aca="false">L111*'Title Inputs'!$G$24*Scenarios!$G$43</f>
        <v>434815.168021561</v>
      </c>
      <c r="M112" s="40" t="n">
        <f aca="false">M111*'Title Inputs'!$G$24*Scenarios!$G$43</f>
        <v>373071.414162499</v>
      </c>
      <c r="N112" s="40" t="n">
        <f aca="false">N111*'Title Inputs'!$G$24*Scenarios!$G$43</f>
        <v>320095.273351425</v>
      </c>
      <c r="O112" s="40" t="n">
        <f aca="false">O111*'Title Inputs'!$G$24*Scenarios!$G$43</f>
        <v>274641.744535522</v>
      </c>
      <c r="P112" s="40" t="n">
        <f aca="false">P111*'Title Inputs'!$G$24*Scenarios!$G$43</f>
        <v>235642.616811478</v>
      </c>
      <c r="Q112" s="40" t="n">
        <f aca="false">Q111*'Title Inputs'!$G$24*Scenarios!$G$43</f>
        <v>202181.365224248</v>
      </c>
      <c r="R112" s="40" t="n">
        <f aca="false">R111*'Title Inputs'!$G$24*Scenarios!$G$43</f>
        <v>173471.611362405</v>
      </c>
      <c r="S112" s="40" t="n">
        <f aca="false">S111*'Title Inputs'!$G$24*Scenarios!$G$43</f>
        <v>148838.642548943</v>
      </c>
      <c r="T112" s="40" t="n">
        <f aca="false">T111*'Title Inputs'!$G$24*Scenarios!$G$43</f>
        <v>127703.555306993</v>
      </c>
      <c r="U112" s="40" t="n">
        <f aca="false">U111*'Title Inputs'!$G$24*Scenarios!$G$43</f>
        <v>109569.6504534</v>
      </c>
      <c r="V112" s="40" t="n">
        <f aca="false">V111*'Title Inputs'!$G$24*Scenarios!$G$43</f>
        <v>94010.7600890175</v>
      </c>
      <c r="W112" s="40" t="n">
        <f aca="false">W111*'Title Inputs'!$G$24*Scenarios!$G$43</f>
        <v>80661.232156377</v>
      </c>
      <c r="X112" s="40" t="n">
        <f aca="false">X111*'Title Inputs'!$G$24*Scenarios!$G$43</f>
        <v>69207.3371901715</v>
      </c>
      <c r="Y112" s="40" t="n">
        <f aca="false">Y111*'Title Inputs'!$G$24*Scenarios!$G$43</f>
        <v>59379.8953091671</v>
      </c>
      <c r="Z112" s="40" t="n">
        <f aca="false">Z111*'Title Inputs'!$G$24*Scenarios!$G$43</f>
        <v>50947.9501752654</v>
      </c>
      <c r="AA112" s="40" t="n">
        <f aca="false">AA111*'Title Inputs'!$G$24*Scenarios!$G$43</f>
        <v>43713.3412503777</v>
      </c>
      <c r="AB112" s="40" t="n">
        <f aca="false">AB111*'Title Inputs'!$G$24*Scenarios!$G$43</f>
        <v>37506.0467928241</v>
      </c>
    </row>
    <row r="113" customFormat="false" ht="15" hidden="false" customHeight="false" outlineLevel="0" collapsed="false">
      <c r="A113" s="14"/>
      <c r="B113" s="9"/>
      <c r="C113" s="9" t="s">
        <v>199</v>
      </c>
      <c r="D113" s="34" t="n">
        <f aca="false">SUM(E113:AB113)</f>
        <v>175969.06810662</v>
      </c>
      <c r="E113" s="41" t="n">
        <f aca="false">E112/1000*Scenarios!$G$44</f>
        <v>25637.084318442</v>
      </c>
      <c r="F113" s="41" t="n">
        <f aca="false">F112/1000*Scenarios!$G$44</f>
        <v>21996.6183452232</v>
      </c>
      <c r="G113" s="41" t="n">
        <f aca="false">G112/1000*Scenarios!$G$44</f>
        <v>18873.0985402015</v>
      </c>
      <c r="H113" s="41" t="n">
        <f aca="false">H112/1000*Scenarios!$G$44</f>
        <v>16193.1185474929</v>
      </c>
      <c r="I113" s="41" t="n">
        <f aca="false">I112/1000*Scenarios!$G$44</f>
        <v>13893.6957137489</v>
      </c>
      <c r="J113" s="41" t="n">
        <f aca="false">J112/1000*Scenarios!$G$44</f>
        <v>11920.7909223966</v>
      </c>
      <c r="K113" s="41" t="n">
        <f aca="false">K112/1000*Scenarios!$G$44</f>
        <v>10228.0386114163</v>
      </c>
      <c r="L113" s="41" t="n">
        <f aca="false">L112/1000*Scenarios!$G$44</f>
        <v>8775.65712859516</v>
      </c>
      <c r="M113" s="41" t="n">
        <f aca="false">M112/1000*Scenarios!$G$44</f>
        <v>7529.51381633464</v>
      </c>
      <c r="N113" s="41" t="n">
        <f aca="false">N112/1000*Scenarios!$G$44</f>
        <v>6460.32285441512</v>
      </c>
      <c r="O113" s="41" t="n">
        <f aca="false">O112/1000*Scenarios!$G$44</f>
        <v>5542.95700908818</v>
      </c>
      <c r="P113" s="41" t="n">
        <f aca="false">P112/1000*Scenarios!$G$44</f>
        <v>4755.85711379765</v>
      </c>
      <c r="Q113" s="41" t="n">
        <f aca="false">Q112/1000*Scenarios!$G$44</f>
        <v>4080.52540363839</v>
      </c>
      <c r="R113" s="41" t="n">
        <f aca="false">R112/1000*Scenarios!$G$44</f>
        <v>3501.09079632174</v>
      </c>
      <c r="S113" s="41" t="n">
        <f aca="false">S112/1000*Scenarios!$G$44</f>
        <v>3003.93590324405</v>
      </c>
      <c r="T113" s="41" t="n">
        <f aca="false">T112/1000*Scenarios!$G$44</f>
        <v>2577.3770049834</v>
      </c>
      <c r="U113" s="41" t="n">
        <f aca="false">U112/1000*Scenarios!$G$44</f>
        <v>2211.38947027575</v>
      </c>
      <c r="V113" s="41" t="n">
        <f aca="false">V112/1000*Scenarios!$G$44</f>
        <v>1897.3721654966</v>
      </c>
      <c r="W113" s="41" t="n">
        <f aca="false">W112/1000*Scenarios!$G$44</f>
        <v>1627.94531799608</v>
      </c>
      <c r="X113" s="41" t="n">
        <f aca="false">X112/1000*Scenarios!$G$44</f>
        <v>1396.77708284064</v>
      </c>
      <c r="Y113" s="41" t="n">
        <f aca="false">Y112/1000*Scenarios!$G$44</f>
        <v>1198.43473707727</v>
      </c>
      <c r="Z113" s="41" t="n">
        <f aca="false">Z112/1000*Scenarios!$G$44</f>
        <v>1028.25700441229</v>
      </c>
      <c r="AA113" s="41" t="n">
        <f aca="false">AA112/1000*Scenarios!$G$44</f>
        <v>882.244509785748</v>
      </c>
      <c r="AB113" s="41" t="n">
        <f aca="false">AB112/1000*Scenarios!$G$44</f>
        <v>756.965789396172</v>
      </c>
    </row>
    <row r="115" customFormat="false" ht="15" hidden="false" customHeight="false" outlineLevel="0" collapsed="false">
      <c r="B115" s="42" t="s">
        <v>200</v>
      </c>
      <c r="C115" s="42" t="s">
        <v>201</v>
      </c>
      <c r="D115" s="27" t="n">
        <f aca="false">$D$85+$D$91+$D$97+$D$103+$D$109</f>
        <v>12811106.7438351</v>
      </c>
      <c r="E115" s="27" t="n">
        <f aca="false">E85+E91+E97+E103+E109</f>
        <v>1581911.37957645</v>
      </c>
      <c r="F115" s="27" t="n">
        <f aca="false">F85+F91+F97+F103+F109</f>
        <v>1395248.34987016</v>
      </c>
      <c r="G115" s="27" t="n">
        <f aca="false">G85+G91+G97+G103+G109</f>
        <v>1230808.38381428</v>
      </c>
      <c r="H115" s="27" t="n">
        <f aca="false">H85+H91+H97+H103+H109</f>
        <v>1085920.81445119</v>
      </c>
      <c r="I115" s="27" t="n">
        <f aca="false">I85+I91+I97+I103+I109</f>
        <v>958239.063428306</v>
      </c>
      <c r="J115" s="27" t="n">
        <f aca="false">J85+J91+J97+J103+J109</f>
        <v>845700.917972077</v>
      </c>
      <c r="K115" s="27" t="n">
        <f aca="false">K85+K91+K97+K103+K109</f>
        <v>746493.726032214</v>
      </c>
      <c r="L115" s="27" t="n">
        <f aca="false">L85+L91+L97+L103+L109</f>
        <v>659023.89451217</v>
      </c>
      <c r="M115" s="27" t="n">
        <f aca="false">M85+M91+M97+M103+M109</f>
        <v>581890.153191287</v>
      </c>
      <c r="N115" s="27" t="n">
        <f aca="false">N85+N91+N97+N103+N109</f>
        <v>513860.114726006</v>
      </c>
      <c r="O115" s="27" t="n">
        <f aca="false">O85+O91+O97+O103+O109</f>
        <v>453849.720267384</v>
      </c>
      <c r="P115" s="27" t="n">
        <f aca="false">P85+P91+P97+P103+P109</f>
        <v>400905.211859301</v>
      </c>
      <c r="Q115" s="27" t="n">
        <f aca="false">Q85+Q91+Q97+Q103+Q109</f>
        <v>354187.317851915</v>
      </c>
      <c r="R115" s="27" t="n">
        <f aca="false">R85+R91+R97+R103+R109</f>
        <v>312957.376918666</v>
      </c>
      <c r="S115" s="27" t="n">
        <f aca="false">S85+S91+S97+S103+S109</f>
        <v>276565.16063443</v>
      </c>
      <c r="T115" s="27" t="n">
        <f aca="false">T85+T91+T97+T103+T109</f>
        <v>244438.184594529</v>
      </c>
      <c r="U115" s="27" t="n">
        <f aca="false">U85+U91+U97+U103+U109</f>
        <v>216072.324284336</v>
      </c>
      <c r="V115" s="27" t="n">
        <f aca="false">V85+V91+V97+V103+V109</f>
        <v>191023.574830798</v>
      </c>
      <c r="W115" s="27" t="n">
        <f aca="false">W85+W91+W97+W103+W109</f>
        <v>168900.813801585</v>
      </c>
      <c r="X115" s="27" t="n">
        <f aca="false">X85+X91+X97+X103+X109</f>
        <v>149359.44373204</v>
      </c>
      <c r="Y115" s="27" t="n">
        <f aca="false">Y85+Y91+Y97+Y103+Y109</f>
        <v>132095.806374625</v>
      </c>
      <c r="Z115" s="27" t="n">
        <f aca="false">Z85+Z91+Z97+Z103+Z109</f>
        <v>116842.274059185</v>
      </c>
      <c r="AA115" s="27" t="n">
        <f aca="false">AA85+AA91+AA97+AA103+AA109</f>
        <v>103362.935268447</v>
      </c>
      <c r="AB115" s="27" t="n">
        <f aca="false">AB85+AB91+AB97+AB103+AB109</f>
        <v>91449.8017837513</v>
      </c>
    </row>
    <row r="116" customFormat="false" ht="15" hidden="false" customHeight="false" outlineLevel="0" collapsed="false">
      <c r="B116" s="42" t="s">
        <v>200</v>
      </c>
      <c r="C116" s="42" t="s">
        <v>202</v>
      </c>
      <c r="D116" s="27" t="n">
        <f aca="false">$D$87+$D$93+$D$99+$D$105+$D$111</f>
        <v>17921711.0348028</v>
      </c>
      <c r="E116" s="27" t="n">
        <f aca="false">E87+E93+E99+E105+E111</f>
        <v>2185639.9552309</v>
      </c>
      <c r="F116" s="27" t="n">
        <f aca="false">F87+F93+F99+F105+F111</f>
        <v>1931796.28568557</v>
      </c>
      <c r="G116" s="27" t="n">
        <f aca="false">G87+G93+G99+G105+G111</f>
        <v>1707663.71852079</v>
      </c>
      <c r="H116" s="27" t="n">
        <f aca="false">H87+H93+H99+H105+H111</f>
        <v>1509735.78264106</v>
      </c>
      <c r="I116" s="27" t="n">
        <f aca="false">I87+I93+I99+I105+I111</f>
        <v>1334923.48315816</v>
      </c>
      <c r="J116" s="27" t="n">
        <f aca="false">J87+J93+J99+J105+J111</f>
        <v>1180505.13871146</v>
      </c>
      <c r="K116" s="27" t="n">
        <f aca="false">K87+K93+K99+K105+K111</f>
        <v>1044082.30367305</v>
      </c>
      <c r="L116" s="27" t="n">
        <f aca="false">L87+L93+L99+L105+L111</f>
        <v>923541.029936623</v>
      </c>
      <c r="M116" s="27" t="n">
        <f aca="false">M87+M93+M99+M105+M111</f>
        <v>817017.815171304</v>
      </c>
      <c r="N116" s="27" t="n">
        <f aca="false">N87+N93+N99+N105+N111</f>
        <v>722869.665092046</v>
      </c>
      <c r="O116" s="27" t="n">
        <f aca="false">O87+O93+O99+O105+O111</f>
        <v>639647.767906788</v>
      </c>
      <c r="P116" s="27" t="n">
        <f aca="false">P87+P93+P99+P105+P111</f>
        <v>566074.340915161</v>
      </c>
      <c r="Q116" s="27" t="n">
        <f aca="false">Q87+Q93+Q99+Q105+Q111</f>
        <v>501022.263359513</v>
      </c>
      <c r="R116" s="27" t="n">
        <f aca="false">R87+R93+R99+R105+R111</f>
        <v>443497.157032086</v>
      </c>
      <c r="S116" s="27" t="n">
        <f aca="false">S87+S93+S99+S105+S111</f>
        <v>392621.617665402</v>
      </c>
      <c r="T116" s="27" t="n">
        <f aca="false">T87+T93+T99+T105+T111</f>
        <v>347621.336512691</v>
      </c>
      <c r="U116" s="27" t="n">
        <f aca="false">U87+U93+U99+U105+U111</f>
        <v>307812.883404838</v>
      </c>
      <c r="V116" s="27" t="n">
        <f aca="false">V87+V93+V99+V105+V111</f>
        <v>272592.950511852</v>
      </c>
      <c r="W116" s="27" t="n">
        <f aca="false">W87+W93+W99+W105+W111</f>
        <v>241428.880531554</v>
      </c>
      <c r="X116" s="27" t="n">
        <f aca="false">X87+X93+X99+X105+X111</f>
        <v>213850.324505296</v>
      </c>
      <c r="Y116" s="27" t="n">
        <f aca="false">Y87+Y93+Y99+Y105+Y111</f>
        <v>189441.893295486</v>
      </c>
      <c r="Z116" s="27" t="n">
        <f aca="false">Z87+Z93+Z99+Z105+Z111</f>
        <v>167836.683280703</v>
      </c>
      <c r="AA116" s="27" t="n">
        <f aca="false">AA87+AA93+AA99+AA105+AA111</f>
        <v>148710.571318244</v>
      </c>
      <c r="AB116" s="27" t="n">
        <f aca="false">AB87+AB93+AB99+AB105+AB111</f>
        <v>131777.186742229</v>
      </c>
    </row>
    <row r="117" customFormat="false" ht="15" hidden="false" customHeight="false" outlineLevel="0" collapsed="false">
      <c r="B117" s="42" t="s">
        <v>200</v>
      </c>
      <c r="C117" s="42" t="s">
        <v>203</v>
      </c>
      <c r="D117" s="27" t="n">
        <f aca="false">$D$88+$D$94+$D$100+$D$106+$D$112</f>
        <v>231506646.198493</v>
      </c>
      <c r="E117" s="27" t="n">
        <f aca="false">E88+E94+E100+E106+E112</f>
        <v>28139972.2721656</v>
      </c>
      <c r="F117" s="27" t="n">
        <f aca="false">F88+F94+F100+F106+F112</f>
        <v>24885688.4980765</v>
      </c>
      <c r="G117" s="27" t="n">
        <f aca="false">G88+G94+G100+G106+G112</f>
        <v>22010543.8829687</v>
      </c>
      <c r="H117" s="27" t="n">
        <f aca="false">H88+H94+H100+H106+H112</f>
        <v>19470014.0940615</v>
      </c>
      <c r="I117" s="27" t="n">
        <f aca="false">I88+I94+I100+I106+I112</f>
        <v>17224848.051846</v>
      </c>
      <c r="J117" s="27" t="n">
        <f aca="false">J88+J94+J100+J106+J112</f>
        <v>15240437.782829</v>
      </c>
      <c r="K117" s="27" t="n">
        <f aca="false">K88+K94+K100+K106+K112</f>
        <v>13486264.2787587</v>
      </c>
      <c r="L117" s="27" t="n">
        <f aca="false">L88+L94+L100+L106+L112</f>
        <v>11935410.1063616</v>
      </c>
      <c r="M117" s="27" t="n">
        <f aca="false">M88+M94+M100+M106+M112</f>
        <v>10564130.6498314</v>
      </c>
      <c r="N117" s="27" t="n">
        <f aca="false">N88+N94+N100+N106+N112</f>
        <v>9351476.86517604</v>
      </c>
      <c r="O117" s="27" t="n">
        <f aca="false">O88+O94+O100+O106+O112</f>
        <v>8278963.29878366</v>
      </c>
      <c r="P117" s="27" t="n">
        <f aca="false">P88+P94+P100+P106+P112</f>
        <v>7330275.88768085</v>
      </c>
      <c r="Q117" s="27" t="n">
        <f aca="false">Q88+Q94+Q100+Q106+Q112</f>
        <v>6491014.72945262</v>
      </c>
      <c r="R117" s="27" t="n">
        <f aca="false">R88+R94+R100+R106+R112</f>
        <v>5748467.59748769</v>
      </c>
      <c r="S117" s="27" t="n">
        <f aca="false">S88+S94+S100+S106+S112</f>
        <v>5091410.49242907</v>
      </c>
      <c r="T117" s="27" t="n">
        <f aca="false">T88+T94+T100+T106+T112</f>
        <v>4509931.97247551</v>
      </c>
      <c r="U117" s="27" t="n">
        <f aca="false">U88+U94+U100+U106+U112</f>
        <v>3995278.40138344</v>
      </c>
      <c r="V117" s="27" t="n">
        <f aca="false">V88+V94+V100+V106+V112</f>
        <v>3539717.60056251</v>
      </c>
      <c r="W117" s="27" t="n">
        <f aca="false">W88+W94+W100+W106+W112</f>
        <v>3136418.69657548</v>
      </c>
      <c r="X117" s="27" t="n">
        <f aca="false">X88+X94+X100+X106+X112</f>
        <v>2779346.22292339</v>
      </c>
      <c r="Y117" s="27" t="n">
        <f aca="false">Y88+Y94+Y100+Y106+Y112</f>
        <v>2463166.76983989</v>
      </c>
      <c r="Z117" s="27" t="n">
        <f aca="false">Z88+Z94+Z100+Z106+Z112</f>
        <v>2183166.68197507</v>
      </c>
      <c r="AA117" s="27" t="n">
        <f aca="false">AA88+AA94+AA100+AA106+AA112</f>
        <v>1935179.48485853</v>
      </c>
      <c r="AB117" s="27" t="n">
        <f aca="false">AB88+AB94+AB100+AB106+AB112</f>
        <v>1715521.87999042</v>
      </c>
    </row>
    <row r="118" customFormat="false" ht="15" hidden="false" customHeight="false" outlineLevel="0" collapsed="false">
      <c r="B118" s="42" t="s">
        <v>200</v>
      </c>
      <c r="C118" s="42" t="s">
        <v>204</v>
      </c>
      <c r="D118" s="34" t="n">
        <f aca="false">$D$89+$D$95+$D$101+$D$107+$D$113</f>
        <v>5721451.69349156</v>
      </c>
      <c r="E118" s="34" t="n">
        <f aca="false">E89+E95+E101+E107+E113</f>
        <v>692107.054563145</v>
      </c>
      <c r="F118" s="34" t="n">
        <f aca="false">F89+F95+F101+F107+F113</f>
        <v>612564.23647595</v>
      </c>
      <c r="G118" s="34" t="n">
        <f aca="false">G89+G95+G101+G107+G113</f>
        <v>542226.209258504</v>
      </c>
      <c r="H118" s="34" t="n">
        <f aca="false">H89+H95+H101+H107+H113</f>
        <v>480019.816933048</v>
      </c>
      <c r="I118" s="34" t="n">
        <f aca="false">I89+I95+I101+I107+I113</f>
        <v>424998.025127998</v>
      </c>
      <c r="J118" s="34" t="n">
        <f aca="false">J89+J95+J101+J107+J113</f>
        <v>376324.97189884</v>
      </c>
      <c r="K118" s="34" t="n">
        <f aca="false">K89+K95+K101+K107+K113</f>
        <v>333262.806443105</v>
      </c>
      <c r="L118" s="34" t="n">
        <f aca="false">L89+L95+L101+L107+L113</f>
        <v>295160.099875109</v>
      </c>
      <c r="M118" s="34" t="n">
        <f aca="false">M89+M95+M101+M107+M113</f>
        <v>261441.638532749</v>
      </c>
      <c r="N118" s="34" t="n">
        <f aca="false">N89+N95+N101+N107+N113</f>
        <v>231599.433357594</v>
      </c>
      <c r="O118" s="34" t="n">
        <f aca="false">O89+O95+O101+O107+O113</f>
        <v>205184.799123144</v>
      </c>
      <c r="P118" s="34" t="n">
        <f aca="false">P89+P95+P101+P107+P113</f>
        <v>181801.375036317</v>
      </c>
      <c r="Q118" s="34" t="n">
        <f aca="false">Q89+Q95+Q101+Q107+Q113</f>
        <v>161098.97381182</v>
      </c>
      <c r="R118" s="34" t="n">
        <f aca="false">R89+R95+R101+R107+R113</f>
        <v>142768.159987255</v>
      </c>
      <c r="S118" s="34" t="n">
        <f aca="false">S89+S95+S101+S107+S113</f>
        <v>126535.470244299</v>
      </c>
      <c r="T118" s="34" t="n">
        <f aca="false">T89+T95+T101+T107+T113</f>
        <v>112159.199034266</v>
      </c>
      <c r="U118" s="34" t="n">
        <f aca="false">U89+U95+U101+U107+U113</f>
        <v>99425.6820553104</v>
      </c>
      <c r="V118" s="34" t="n">
        <f aca="false">V89+V95+V101+V107+V113</f>
        <v>88146.0182515539</v>
      </c>
      <c r="W118" s="34" t="n">
        <f aca="false">W89+W95+W101+W107+W113</f>
        <v>78153.1781398713</v>
      </c>
      <c r="X118" s="34" t="n">
        <f aca="false">X89+X95+X101+X107+X113</f>
        <v>69299.4525392222</v>
      </c>
      <c r="Y118" s="34" t="n">
        <f aca="false">Y89+Y95+Y101+Y107+Y113</f>
        <v>61454.2012864272</v>
      </c>
      <c r="Z118" s="34" t="n">
        <f aca="false">Z89+Z95+Z101+Z107+Z113</f>
        <v>54501.8663642454</v>
      </c>
      <c r="AA118" s="34" t="n">
        <f aca="false">AA89+AA95+AA101+AA107+AA113</f>
        <v>48340.2181240426</v>
      </c>
      <c r="AB118" s="34" t="n">
        <f aca="false">AB89+AB95+AB101+AB107+AB113</f>
        <v>42878.807027746</v>
      </c>
    </row>
    <row r="119" customFormat="false" ht="15" hidden="false" customHeight="false" outlineLevel="0" collapsed="false">
      <c r="C119" s="9" t="s">
        <v>205</v>
      </c>
      <c r="D119" s="27" t="n">
        <f aca="false">AB119</f>
        <v>17921711.0348028</v>
      </c>
      <c r="E119" s="40" t="n">
        <f aca="false">SUM(E116:E116)</f>
        <v>2185639.9552309</v>
      </c>
      <c r="F119" s="40" t="n">
        <f aca="false">SUM(E116:F116)</f>
        <v>4117436.24091647</v>
      </c>
      <c r="G119" s="40" t="n">
        <f aca="false">SUM(E116:G116)</f>
        <v>5825099.95943726</v>
      </c>
      <c r="H119" s="40" t="n">
        <f aca="false">SUM(E116:H116)</f>
        <v>7334835.74207832</v>
      </c>
      <c r="I119" s="40" t="n">
        <f aca="false">SUM(E116:I116)</f>
        <v>8669759.22523649</v>
      </c>
      <c r="J119" s="40" t="n">
        <f aca="false">SUM(E116:J116)</f>
        <v>9850264.36394795</v>
      </c>
      <c r="K119" s="40" t="n">
        <f aca="false">SUM(E116:K116)</f>
        <v>10894346.667621</v>
      </c>
      <c r="L119" s="40" t="n">
        <f aca="false">SUM(E116:L116)</f>
        <v>11817887.6975576</v>
      </c>
      <c r="M119" s="40" t="n">
        <f aca="false">SUM(E116:M116)</f>
        <v>12634905.5127289</v>
      </c>
      <c r="N119" s="40" t="n">
        <f aca="false">SUM(E116:N116)</f>
        <v>13357775.177821</v>
      </c>
      <c r="O119" s="40" t="n">
        <f aca="false">SUM(E116:O116)</f>
        <v>13997422.9457278</v>
      </c>
      <c r="P119" s="40" t="n">
        <f aca="false">SUM(E116:P116)</f>
        <v>14563497.2866429</v>
      </c>
      <c r="Q119" s="40" t="n">
        <f aca="false">SUM(E116:Q116)</f>
        <v>15064519.5500024</v>
      </c>
      <c r="R119" s="40" t="n">
        <f aca="false">SUM(E116:R116)</f>
        <v>15508016.7070345</v>
      </c>
      <c r="S119" s="40" t="n">
        <f aca="false">SUM(E116:S116)</f>
        <v>15900638.3246999</v>
      </c>
      <c r="T119" s="40" t="n">
        <f aca="false">SUM(E116:T116)</f>
        <v>16248259.6612126</v>
      </c>
      <c r="U119" s="40" t="n">
        <f aca="false">SUM(E116:U116)</f>
        <v>16556072.5446174</v>
      </c>
      <c r="V119" s="40" t="n">
        <f aca="false">SUM(E116:V116)</f>
        <v>16828665.4951293</v>
      </c>
      <c r="W119" s="40" t="n">
        <f aca="false">SUM(E116:W116)</f>
        <v>17070094.3756609</v>
      </c>
      <c r="X119" s="40" t="n">
        <f aca="false">SUM(E116:X116)</f>
        <v>17283944.7001661</v>
      </c>
      <c r="Y119" s="40" t="n">
        <f aca="false">SUM(E116:Y116)</f>
        <v>17473386.5934616</v>
      </c>
      <c r="Z119" s="40" t="n">
        <f aca="false">SUM(E116:Z116)</f>
        <v>17641223.2767423</v>
      </c>
      <c r="AA119" s="40" t="n">
        <f aca="false">SUM(E116:AA116)</f>
        <v>17789933.8480606</v>
      </c>
      <c r="AB119" s="40" t="n">
        <f aca="false">SUM(E116:AB116)</f>
        <v>17921711.0348028</v>
      </c>
    </row>
    <row r="120" customFormat="false" ht="15" hidden="false" customHeight="false" outlineLevel="0" collapsed="false">
      <c r="C120" s="9" t="s">
        <v>206</v>
      </c>
      <c r="D120" s="34" t="n">
        <f aca="false">AB120</f>
        <v>5721451.69349156</v>
      </c>
      <c r="E120" s="41" t="n">
        <f aca="false">SUM(E118:E118)</f>
        <v>692107.054563145</v>
      </c>
      <c r="F120" s="41" t="n">
        <f aca="false">SUM(E118:F118)</f>
        <v>1304671.29103909</v>
      </c>
      <c r="G120" s="41" t="n">
        <f aca="false">SUM(E118:G118)</f>
        <v>1846897.5002976</v>
      </c>
      <c r="H120" s="41" t="n">
        <f aca="false">SUM(E118:H118)</f>
        <v>2326917.31723065</v>
      </c>
      <c r="I120" s="41" t="n">
        <f aca="false">SUM(E118:I118)</f>
        <v>2751915.34235864</v>
      </c>
      <c r="J120" s="41" t="n">
        <f aca="false">SUM(E118:J118)</f>
        <v>3128240.31425748</v>
      </c>
      <c r="K120" s="41" t="n">
        <f aca="false">SUM(E118:K118)</f>
        <v>3461503.12070059</v>
      </c>
      <c r="L120" s="41" t="n">
        <f aca="false">SUM(E118:L118)</f>
        <v>3756663.2205757</v>
      </c>
      <c r="M120" s="41" t="n">
        <f aca="false">SUM(E118:M118)</f>
        <v>4018104.85910845</v>
      </c>
      <c r="N120" s="41" t="n">
        <f aca="false">SUM(E118:N118)</f>
        <v>4249704.29246604</v>
      </c>
      <c r="O120" s="41" t="n">
        <f aca="false">SUM(E118:O118)</f>
        <v>4454889.09158919</v>
      </c>
      <c r="P120" s="41" t="n">
        <f aca="false">SUM(E118:P118)</f>
        <v>4636690.4666255</v>
      </c>
      <c r="Q120" s="41" t="n">
        <f aca="false">SUM(E118:Q118)</f>
        <v>4797789.44043732</v>
      </c>
      <c r="R120" s="41" t="n">
        <f aca="false">SUM(E118:R118)</f>
        <v>4940557.60042458</v>
      </c>
      <c r="S120" s="41" t="n">
        <f aca="false">SUM(E118:S118)</f>
        <v>5067093.07066888</v>
      </c>
      <c r="T120" s="41" t="n">
        <f aca="false">SUM(E118:T118)</f>
        <v>5179252.26970314</v>
      </c>
      <c r="U120" s="41" t="n">
        <f aca="false">SUM(E118:U118)</f>
        <v>5278677.95175846</v>
      </c>
      <c r="V120" s="41" t="n">
        <f aca="false">SUM(E118:V118)</f>
        <v>5366823.97001001</v>
      </c>
      <c r="W120" s="41" t="n">
        <f aca="false">SUM(E118:W118)</f>
        <v>5444977.14814988</v>
      </c>
      <c r="X120" s="41" t="n">
        <f aca="false">SUM(E118:X118)</f>
        <v>5514276.6006891</v>
      </c>
      <c r="Y120" s="41" t="n">
        <f aca="false">SUM(E118:Y118)</f>
        <v>5575730.80197553</v>
      </c>
      <c r="Z120" s="41" t="n">
        <f aca="false">SUM(E118:Z118)</f>
        <v>5630232.66833977</v>
      </c>
      <c r="AA120" s="41" t="n">
        <f aca="false">SUM(E118:AA118)</f>
        <v>5678572.88646382</v>
      </c>
      <c r="AB120" s="41" t="n">
        <f aca="false">SUM(E118:AB118)</f>
        <v>5721451.69349156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28" min="5" style="0" width="12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211</v>
      </c>
    </row>
    <row r="3" customFormat="false" ht="15" hidden="false" customHeight="false" outlineLevel="0" collapsed="false">
      <c r="A3" s="14" t="s">
        <v>3</v>
      </c>
    </row>
    <row r="4" customFormat="false" ht="15" hidden="false" customHeight="false" outlineLevel="0" collapsed="false">
      <c r="A4" s="23" t="s">
        <v>189</v>
      </c>
      <c r="B4" s="23" t="s">
        <v>190</v>
      </c>
      <c r="C4" s="23" t="s">
        <v>191</v>
      </c>
      <c r="D4" s="24" t="s">
        <v>192</v>
      </c>
      <c r="E4" s="37" t="n">
        <v>1</v>
      </c>
      <c r="F4" s="37" t="n">
        <v>2</v>
      </c>
      <c r="G4" s="37" t="n">
        <v>3</v>
      </c>
      <c r="H4" s="37" t="n">
        <v>4</v>
      </c>
      <c r="I4" s="37" t="n">
        <v>5</v>
      </c>
      <c r="J4" s="37" t="n">
        <v>6</v>
      </c>
      <c r="K4" s="37" t="n">
        <v>7</v>
      </c>
      <c r="L4" s="37" t="n">
        <v>8</v>
      </c>
      <c r="M4" s="37" t="n">
        <v>9</v>
      </c>
      <c r="N4" s="37" t="n">
        <v>10</v>
      </c>
      <c r="O4" s="37" t="n">
        <v>11</v>
      </c>
      <c r="P4" s="37" t="n">
        <v>12</v>
      </c>
      <c r="Q4" s="37" t="n">
        <v>13</v>
      </c>
      <c r="R4" s="37" t="n">
        <v>14</v>
      </c>
      <c r="S4" s="37" t="n">
        <v>15</v>
      </c>
      <c r="T4" s="37" t="n">
        <v>16</v>
      </c>
      <c r="U4" s="37" t="n">
        <v>17</v>
      </c>
      <c r="V4" s="37" t="n">
        <v>18</v>
      </c>
      <c r="W4" s="37" t="n">
        <v>19</v>
      </c>
      <c r="X4" s="37" t="n">
        <v>20</v>
      </c>
      <c r="Y4" s="37" t="n">
        <v>21</v>
      </c>
      <c r="Z4" s="37" t="n">
        <v>22</v>
      </c>
      <c r="AA4" s="37" t="n">
        <v>23</v>
      </c>
      <c r="AB4" s="37" t="n">
        <v>24</v>
      </c>
    </row>
    <row r="6" customFormat="false" ht="15" hidden="false" customHeight="false" outlineLevel="0" collapsed="false">
      <c r="C6" s="8" t="s">
        <v>212</v>
      </c>
      <c r="E6" s="22" t="n">
        <f aca="false">1/(1+Assumptions!$C$14)^E$4</f>
        <v>0.990600397943003</v>
      </c>
      <c r="F6" s="22" t="n">
        <f aca="false">1/(1+Assumptions!$C$14)^F$4</f>
        <v>0.981289148404836</v>
      </c>
      <c r="G6" s="22" t="n">
        <f aca="false">1/(1+Assumptions!$C$14)^G$4</f>
        <v>0.972065420906982</v>
      </c>
      <c r="H6" s="22" t="n">
        <f aca="false">1/(1+Assumptions!$C$14)^H$4</f>
        <v>0.962928392777089</v>
      </c>
      <c r="I6" s="22" t="n">
        <f aca="false">1/(1+Assumptions!$C$14)^I$4</f>
        <v>0.953877249075601</v>
      </c>
      <c r="J6" s="22" t="n">
        <f aca="false">1/(1+Assumptions!$C$14)^J$4</f>
        <v>0.944911182523068</v>
      </c>
      <c r="K6" s="22" t="n">
        <f aca="false">1/(1+Assumptions!$C$14)^K$4</f>
        <v>0.936029393428145</v>
      </c>
      <c r="L6" s="22" t="n">
        <f aca="false">1/(1+Assumptions!$C$14)^L$4</f>
        <v>0.927231089616268</v>
      </c>
      <c r="M6" s="22" t="n">
        <f aca="false">1/(1+Assumptions!$C$14)^M$4</f>
        <v>0.918515486359</v>
      </c>
      <c r="N6" s="22" t="n">
        <f aca="false">1/(1+Assumptions!$C$14)^N$4</f>
        <v>0.909881806304036</v>
      </c>
      <c r="O6" s="22" t="n">
        <f aca="false">1/(1+Assumptions!$C$14)^O$4</f>
        <v>0.901329279405877</v>
      </c>
      <c r="P6" s="22" t="n">
        <f aca="false">1/(1+Assumptions!$C$14)^P$4</f>
        <v>0.892857142857142</v>
      </c>
      <c r="Q6" s="22" t="n">
        <f aca="false">1/(1+Assumptions!$C$14)^Q$4</f>
        <v>0.884464641020538</v>
      </c>
      <c r="R6" s="22" t="n">
        <f aca="false">1/(1+Assumptions!$C$14)^R$4</f>
        <v>0.87615102536146</v>
      </c>
      <c r="S6" s="22" t="n">
        <f aca="false">1/(1+Assumptions!$C$14)^S$4</f>
        <v>0.867915554381233</v>
      </c>
      <c r="T6" s="22" t="n">
        <f aca="false">1/(1+Assumptions!$C$14)^T$4</f>
        <v>0.859757493550972</v>
      </c>
      <c r="U6" s="22" t="n">
        <f aca="false">1/(1+Assumptions!$C$14)^U$4</f>
        <v>0.851676115246072</v>
      </c>
      <c r="V6" s="22" t="n">
        <f aca="false">1/(1+Assumptions!$C$14)^V$4</f>
        <v>0.84367069868131</v>
      </c>
      <c r="W6" s="22" t="n">
        <f aca="false">1/(1+Assumptions!$C$14)^W$4</f>
        <v>0.835740529846557</v>
      </c>
      <c r="X6" s="22" t="n">
        <f aca="false">1/(1+Assumptions!$C$14)^X$4</f>
        <v>0.827884901443096</v>
      </c>
      <c r="Y6" s="22" t="n">
        <f aca="false">1/(1+Assumptions!$C$14)^Y$4</f>
        <v>0.820103112820535</v>
      </c>
      <c r="Z6" s="22" t="n">
        <f aca="false">1/(1+Assumptions!$C$14)^Z$4</f>
        <v>0.812394469914317</v>
      </c>
      <c r="AA6" s="22" t="n">
        <f aca="false">1/(1+Assumptions!$C$14)^AA$4</f>
        <v>0.804758285183818</v>
      </c>
      <c r="AB6" s="22" t="n">
        <f aca="false">1/(1+Assumptions!$C$14)^AB$4</f>
        <v>0.797193877551019</v>
      </c>
    </row>
    <row r="8" customFormat="false" ht="15" hidden="false" customHeight="false" outlineLevel="0" collapsed="false">
      <c r="A8" s="38" t="s">
        <v>193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customFormat="false" ht="15" hidden="false" customHeight="false" outlineLevel="0" collapsed="false">
      <c r="A9" s="14" t="s">
        <v>194</v>
      </c>
      <c r="B9" s="8" t="s">
        <v>122</v>
      </c>
      <c r="C9" s="9" t="s">
        <v>213</v>
      </c>
      <c r="D9" s="34" t="n">
        <f aca="false">SUM(E9:AB9)</f>
        <v>1012271.66430659</v>
      </c>
      <c r="E9" s="41" t="n">
        <f aca="false">'Monthly Viewing Forecast'!E11*Scenarios!$C$27</f>
        <v>130084.020907703</v>
      </c>
      <c r="F9" s="41" t="n">
        <f aca="false">'Monthly Viewing Forecast'!F11*Scenarios!$C$27</f>
        <v>114083.686336056</v>
      </c>
      <c r="G9" s="41" t="n">
        <f aca="false">'Monthly Viewing Forecast'!G11*Scenarios!$C$27</f>
        <v>100051.392916721</v>
      </c>
      <c r="H9" s="41" t="n">
        <f aca="false">'Monthly Viewing Forecast'!H11*Scenarios!$C$27</f>
        <v>87745.071587964</v>
      </c>
      <c r="I9" s="41" t="n">
        <f aca="false">'Monthly Viewing Forecast'!I11*Scenarios!$C$27</f>
        <v>76952.4277826444</v>
      </c>
      <c r="J9" s="41" t="n">
        <f aca="false">'Monthly Viewing Forecast'!J11*Scenarios!$C$27</f>
        <v>67487.2791653792</v>
      </c>
      <c r="K9" s="41" t="n">
        <f aca="false">'Monthly Viewing Forecast'!K11*Scenarios!$C$27</f>
        <v>59186.3438280376</v>
      </c>
      <c r="L9" s="41" t="n">
        <f aca="false">'Monthly Viewing Forecast'!L11*Scenarios!$C$27</f>
        <v>51906.4235371889</v>
      </c>
      <c r="M9" s="41" t="n">
        <f aca="false">'Monthly Viewing Forecast'!M11*Scenarios!$C$27</f>
        <v>45521.9334421147</v>
      </c>
      <c r="N9" s="41" t="n">
        <f aca="false">'Monthly Viewing Forecast'!N11*Scenarios!$C$27</f>
        <v>39922.7356287346</v>
      </c>
      <c r="O9" s="41" t="n">
        <f aca="false">'Monthly Viewing Forecast'!O11*Scenarios!$C$27</f>
        <v>35012.2391464002</v>
      </c>
      <c r="P9" s="41" t="n">
        <f aca="false">'Monthly Viewing Forecast'!P11*Scenarios!$C$27</f>
        <v>30705.733731393</v>
      </c>
      <c r="Q9" s="41" t="n">
        <f aca="false">'Monthly Viewing Forecast'!Q11*Scenarios!$C$27</f>
        <v>26928.9284824317</v>
      </c>
      <c r="R9" s="41" t="n">
        <f aca="false">'Monthly Viewing Forecast'!R11*Scenarios!$C$27</f>
        <v>23616.6702790926</v>
      </c>
      <c r="S9" s="41" t="n">
        <f aca="false">'Monthly Viewing Forecast'!S11*Scenarios!$C$27</f>
        <v>20711.8198347642</v>
      </c>
      <c r="T9" s="41" t="n">
        <f aca="false">'Monthly Viewing Forecast'!T11*Scenarios!$C$27</f>
        <v>18164.2659950882</v>
      </c>
      <c r="U9" s="41" t="n">
        <f aca="false">'Monthly Viewing Forecast'!U11*Scenarios!$C$27</f>
        <v>15930.0612776923</v>
      </c>
      <c r="V9" s="41" t="n">
        <f aca="false">'Monthly Viewing Forecast'!V11*Scenarios!$C$27</f>
        <v>13970.6637405362</v>
      </c>
      <c r="W9" s="41" t="n">
        <f aca="false">'Monthly Viewing Forecast'!W11*Scenarios!$C$27</f>
        <v>12252.2721004502</v>
      </c>
      <c r="X9" s="41" t="n">
        <f aca="false">'Monthly Viewing Forecast'!X11*Scenarios!$C$27</f>
        <v>10745.2426320949</v>
      </c>
      <c r="Y9" s="41" t="n">
        <f aca="false">'Monthly Viewing Forecast'!Y11*Scenarios!$C$27</f>
        <v>9423.57778834719</v>
      </c>
      <c r="Z9" s="41" t="n">
        <f aca="false">'Monthly Viewing Forecast'!Z11*Scenarios!$C$27</f>
        <v>8264.47772038048</v>
      </c>
      <c r="AA9" s="41" t="n">
        <f aca="false">'Monthly Viewing Forecast'!AA11*Scenarios!$C$27</f>
        <v>7247.94696077368</v>
      </c>
      <c r="AB9" s="41" t="n">
        <f aca="false">'Monthly Viewing Forecast'!AB11*Scenarios!$C$27</f>
        <v>6356.44948459852</v>
      </c>
    </row>
    <row r="10" customFormat="false" ht="15" hidden="false" customHeight="false" outlineLevel="0" collapsed="false">
      <c r="A10" s="14"/>
      <c r="B10" s="9"/>
      <c r="C10" s="9" t="s">
        <v>214</v>
      </c>
      <c r="D10" s="34" t="n">
        <f aca="false">SUM(E10:AB10)</f>
        <v>144723.23766205</v>
      </c>
      <c r="E10" s="41" t="n">
        <f aca="false">'Monthly Viewing Forecast'!E9*Scenarios!$C$27*'Title Inputs'!$C$34</f>
        <v>18597.9528398206</v>
      </c>
      <c r="F10" s="41" t="n">
        <f aca="false">'Monthly Viewing Forecast'!F9*Scenarios!$C$27*'Title Inputs'!$C$34</f>
        <v>16310.4046405227</v>
      </c>
      <c r="G10" s="41" t="n">
        <f aca="false">'Monthly Viewing Forecast'!G9*Scenarios!$C$27*'Title Inputs'!$C$34</f>
        <v>14304.2248697384</v>
      </c>
      <c r="H10" s="41" t="n">
        <f aca="false">'Monthly Viewing Forecast'!H9*Scenarios!$C$27*'Title Inputs'!$C$34</f>
        <v>12544.8052107606</v>
      </c>
      <c r="I10" s="41" t="n">
        <f aca="false">'Monthly Viewing Forecast'!I9*Scenarios!$C$27*'Title Inputs'!$C$34</f>
        <v>11001.794169837</v>
      </c>
      <c r="J10" s="41" t="n">
        <f aca="false">'Monthly Viewing Forecast'!J9*Scenarios!$C$27*'Title Inputs'!$C$34</f>
        <v>9648.57348694706</v>
      </c>
      <c r="K10" s="41" t="n">
        <f aca="false">'Monthly Viewing Forecast'!K9*Scenarios!$C$27*'Title Inputs'!$C$34</f>
        <v>8461.79894805258</v>
      </c>
      <c r="L10" s="41" t="n">
        <f aca="false">'Monthly Viewing Forecast'!L9*Scenarios!$C$27*'Title Inputs'!$C$34</f>
        <v>7420.99767744211</v>
      </c>
      <c r="M10" s="41" t="n">
        <f aca="false">'Monthly Viewing Forecast'!M9*Scenarios!$C$27*'Title Inputs'!$C$34</f>
        <v>6508.21496311673</v>
      </c>
      <c r="N10" s="41" t="n">
        <f aca="false">'Monthly Viewing Forecast'!N9*Scenarios!$C$27*'Title Inputs'!$C$34</f>
        <v>5707.70452265337</v>
      </c>
      <c r="O10" s="41" t="n">
        <f aca="false">'Monthly Viewing Forecast'!O9*Scenarios!$C$27*'Title Inputs'!$C$34</f>
        <v>5005.65686636701</v>
      </c>
      <c r="P10" s="41" t="n">
        <f aca="false">'Monthly Viewing Forecast'!P9*Scenarios!$C$27*'Title Inputs'!$C$34</f>
        <v>4389.96107180386</v>
      </c>
      <c r="Q10" s="41" t="n">
        <f aca="false">'Monthly Viewing Forecast'!Q9*Scenarios!$C$27*'Title Inputs'!$C$34</f>
        <v>3849.99585997199</v>
      </c>
      <c r="R10" s="41" t="n">
        <f aca="false">'Monthly Viewing Forecast'!R9*Scenarios!$C$27*'Title Inputs'!$C$34</f>
        <v>3376.44636919543</v>
      </c>
      <c r="S10" s="41" t="n">
        <f aca="false">'Monthly Viewing Forecast'!S9*Scenarios!$C$27*'Title Inputs'!$C$34</f>
        <v>2961.1434657844</v>
      </c>
      <c r="T10" s="41" t="n">
        <f aca="false">'Monthly Viewing Forecast'!T9*Scenarios!$C$27*'Title Inputs'!$C$34</f>
        <v>2596.92281949291</v>
      </c>
      <c r="U10" s="41" t="n">
        <f aca="false">'Monthly Viewing Forecast'!U9*Scenarios!$C$27*'Title Inputs'!$C$34</f>
        <v>2277.50131269529</v>
      </c>
      <c r="V10" s="41" t="n">
        <f aca="false">'Monthly Viewing Forecast'!V9*Scenarios!$C$27*'Title Inputs'!$C$34</f>
        <v>1997.36865123377</v>
      </c>
      <c r="W10" s="41" t="n">
        <f aca="false">'Monthly Viewing Forecast'!W9*Scenarios!$C$27*'Title Inputs'!$C$34</f>
        <v>1751.69230713201</v>
      </c>
      <c r="X10" s="41" t="n">
        <f aca="false">'Monthly Viewing Forecast'!X9*Scenarios!$C$27*'Title Inputs'!$C$34</f>
        <v>1536.23415335478</v>
      </c>
      <c r="Y10" s="41" t="n">
        <f aca="false">'Monthly Viewing Forecast'!Y9*Scenarios!$C$27*'Title Inputs'!$C$34</f>
        <v>1347.27735249214</v>
      </c>
      <c r="Z10" s="41" t="n">
        <f aca="false">'Monthly Viewing Forecast'!Z9*Scenarios!$C$27*'Title Inputs'!$C$34</f>
        <v>1181.56223813561</v>
      </c>
      <c r="AA10" s="41" t="n">
        <f aca="false">'Monthly Viewing Forecast'!AA9*Scenarios!$C$27*'Title Inputs'!$C$34</f>
        <v>1036.23008284493</v>
      </c>
      <c r="AB10" s="41" t="n">
        <f aca="false">'Monthly Viewing Forecast'!AB9*Scenarios!$C$27*'Title Inputs'!$C$34</f>
        <v>908.773782655</v>
      </c>
    </row>
    <row r="11" customFormat="false" ht="15" hidden="false" customHeight="false" outlineLevel="0" collapsed="false">
      <c r="A11" s="14"/>
      <c r="B11" s="9"/>
      <c r="C11" s="9" t="s">
        <v>170</v>
      </c>
      <c r="D11" s="34" t="n">
        <f aca="false">SUM(E11:AB11)</f>
        <v>173250</v>
      </c>
      <c r="E11" s="41" t="n">
        <f aca="false">Scenarios!$C$28*INDEX(Assumptions!$C$23:$C$26,E$4)</f>
        <v>95287.5</v>
      </c>
      <c r="F11" s="41" t="n">
        <f aca="false">Scenarios!$C$28*INDEX(Assumptions!$C$23:$C$26,F$4)</f>
        <v>43312.5</v>
      </c>
      <c r="G11" s="41" t="n">
        <f aca="false">Scenarios!$C$28*INDEX(Assumptions!$C$23:$C$26,G$4)</f>
        <v>20790</v>
      </c>
      <c r="H11" s="41" t="n">
        <f aca="false">Scenarios!$C$28*INDEX(Assumptions!$C$23:$C$26,H$4)</f>
        <v>13860</v>
      </c>
      <c r="I11" s="41" t="n">
        <f aca="false">0</f>
        <v>0</v>
      </c>
      <c r="J11" s="41" t="n">
        <f aca="false">0</f>
        <v>0</v>
      </c>
      <c r="K11" s="41" t="n">
        <f aca="false">0</f>
        <v>0</v>
      </c>
      <c r="L11" s="41" t="n">
        <f aca="false">0</f>
        <v>0</v>
      </c>
      <c r="M11" s="41" t="n">
        <f aca="false">0</f>
        <v>0</v>
      </c>
      <c r="N11" s="41" t="n">
        <f aca="false">0</f>
        <v>0</v>
      </c>
      <c r="O11" s="41" t="n">
        <f aca="false">0</f>
        <v>0</v>
      </c>
      <c r="P11" s="41" t="n">
        <f aca="false">0</f>
        <v>0</v>
      </c>
      <c r="Q11" s="41" t="n">
        <f aca="false">0</f>
        <v>0</v>
      </c>
      <c r="R11" s="41" t="n">
        <f aca="false">0</f>
        <v>0</v>
      </c>
      <c r="S11" s="41" t="n">
        <f aca="false">0</f>
        <v>0</v>
      </c>
      <c r="T11" s="41" t="n">
        <f aca="false">0</f>
        <v>0</v>
      </c>
      <c r="U11" s="41" t="n">
        <f aca="false">0</f>
        <v>0</v>
      </c>
      <c r="V11" s="41" t="n">
        <f aca="false">0</f>
        <v>0</v>
      </c>
      <c r="W11" s="41" t="n">
        <f aca="false">0</f>
        <v>0</v>
      </c>
      <c r="X11" s="41" t="n">
        <f aca="false">0</f>
        <v>0</v>
      </c>
      <c r="Y11" s="41" t="n">
        <f aca="false">0</f>
        <v>0</v>
      </c>
      <c r="Z11" s="41" t="n">
        <f aca="false">0</f>
        <v>0</v>
      </c>
      <c r="AA11" s="41" t="n">
        <f aca="false">0</f>
        <v>0</v>
      </c>
      <c r="AB11" s="41" t="n">
        <f aca="false">0</f>
        <v>0</v>
      </c>
    </row>
    <row r="12" customFormat="false" ht="15" hidden="false" customHeight="false" outlineLevel="0" collapsed="false">
      <c r="A12" s="14"/>
      <c r="B12" s="9"/>
      <c r="C12" s="9" t="s">
        <v>171</v>
      </c>
      <c r="D12" s="34" t="n">
        <f aca="false">SUM(E12:AB12)</f>
        <v>58000</v>
      </c>
      <c r="E12" s="41" t="n">
        <f aca="false">'Title Inputs'!$C$32</f>
        <v>58000</v>
      </c>
      <c r="F12" s="41" t="n">
        <f aca="false">0</f>
        <v>0</v>
      </c>
      <c r="G12" s="41" t="n">
        <f aca="false">0</f>
        <v>0</v>
      </c>
      <c r="H12" s="41" t="n">
        <f aca="false">0</f>
        <v>0</v>
      </c>
      <c r="I12" s="41" t="n">
        <f aca="false">0</f>
        <v>0</v>
      </c>
      <c r="J12" s="41" t="n">
        <f aca="false">0</f>
        <v>0</v>
      </c>
      <c r="K12" s="41" t="n">
        <f aca="false">0</f>
        <v>0</v>
      </c>
      <c r="L12" s="41" t="n">
        <f aca="false">0</f>
        <v>0</v>
      </c>
      <c r="M12" s="41" t="n">
        <f aca="false">0</f>
        <v>0</v>
      </c>
      <c r="N12" s="41" t="n">
        <f aca="false">0</f>
        <v>0</v>
      </c>
      <c r="O12" s="41" t="n">
        <f aca="false">0</f>
        <v>0</v>
      </c>
      <c r="P12" s="41" t="n">
        <f aca="false">0</f>
        <v>0</v>
      </c>
      <c r="Q12" s="41" t="n">
        <f aca="false">0</f>
        <v>0</v>
      </c>
      <c r="R12" s="41" t="n">
        <f aca="false">0</f>
        <v>0</v>
      </c>
      <c r="S12" s="41" t="n">
        <f aca="false">0</f>
        <v>0</v>
      </c>
      <c r="T12" s="41" t="n">
        <f aca="false">0</f>
        <v>0</v>
      </c>
      <c r="U12" s="41" t="n">
        <f aca="false">0</f>
        <v>0</v>
      </c>
      <c r="V12" s="41" t="n">
        <f aca="false">0</f>
        <v>0</v>
      </c>
      <c r="W12" s="41" t="n">
        <f aca="false">0</f>
        <v>0</v>
      </c>
      <c r="X12" s="41" t="n">
        <f aca="false">0</f>
        <v>0</v>
      </c>
      <c r="Y12" s="41" t="n">
        <f aca="false">0</f>
        <v>0</v>
      </c>
      <c r="Z12" s="41" t="n">
        <f aca="false">0</f>
        <v>0</v>
      </c>
      <c r="AA12" s="41" t="n">
        <f aca="false">0</f>
        <v>0</v>
      </c>
      <c r="AB12" s="41" t="n">
        <f aca="false">0</f>
        <v>0</v>
      </c>
    </row>
    <row r="13" customFormat="false" ht="15" hidden="false" customHeight="false" outlineLevel="0" collapsed="false">
      <c r="A13" s="14"/>
      <c r="B13" s="9"/>
      <c r="C13" s="9" t="s">
        <v>215</v>
      </c>
      <c r="D13" s="34" t="n">
        <f aca="false">SUM(E13:AB13)</f>
        <v>101605.199555813</v>
      </c>
      <c r="E13" s="41" t="n">
        <f aca="false">'Monthly Viewing Forecast'!E9*'Title Inputs'!$C$33</f>
        <v>13056.9820033474</v>
      </c>
      <c r="F13" s="41" t="n">
        <f aca="false">'Monthly Viewing Forecast'!F9*'Title Inputs'!$C$33</f>
        <v>11450.9732169357</v>
      </c>
      <c r="G13" s="41" t="n">
        <f aca="false">'Monthly Viewing Forecast'!G9*'Title Inputs'!$C$33</f>
        <v>10042.5035112526</v>
      </c>
      <c r="H13" s="41" t="n">
        <f aca="false">'Monthly Viewing Forecast'!H9*'Title Inputs'!$C$33</f>
        <v>8807.27557936854</v>
      </c>
      <c r="I13" s="41" t="n">
        <f aca="false">'Monthly Viewing Forecast'!I9*'Title Inputs'!$C$33</f>
        <v>7723.98068310621</v>
      </c>
      <c r="J13" s="41" t="n">
        <f aca="false">'Monthly Viewing Forecast'!J9*'Title Inputs'!$C$33</f>
        <v>6773.93105908415</v>
      </c>
      <c r="K13" s="41" t="n">
        <f aca="false">'Monthly Viewing Forecast'!K9*'Title Inputs'!$C$33</f>
        <v>5940.7375388168</v>
      </c>
      <c r="L13" s="41" t="n">
        <f aca="false">'Monthly Viewing Forecast'!L9*'Title Inputs'!$C$33</f>
        <v>5210.02682154233</v>
      </c>
      <c r="M13" s="41" t="n">
        <f aca="false">'Monthly Viewing Forecast'!M9*'Title Inputs'!$C$33</f>
        <v>4569.19352249262</v>
      </c>
      <c r="N13" s="41" t="n">
        <f aca="false">'Monthly Viewing Forecast'!N9*'Title Inputs'!$C$33</f>
        <v>4007.18271922603</v>
      </c>
      <c r="O13" s="41" t="n">
        <f aca="false">'Monthly Viewing Forecast'!O9*'Title Inputs'!$C$33</f>
        <v>3514.29924476123</v>
      </c>
      <c r="P13" s="41" t="n">
        <f aca="false">'Monthly Viewing Forecast'!P9*'Title Inputs'!$C$33</f>
        <v>3082.0404376556</v>
      </c>
      <c r="Q13" s="41" t="n">
        <f aca="false">'Monthly Viewing Forecast'!Q9*'Title Inputs'!$C$33</f>
        <v>2702.94946382396</v>
      </c>
      <c r="R13" s="41" t="n">
        <f aca="false">'Monthly Viewing Forecast'!R9*'Title Inputs'!$C$33</f>
        <v>2370.48667977361</v>
      </c>
      <c r="S13" s="41" t="n">
        <f aca="false">'Monthly Viewing Forecast'!S9*'Title Inputs'!$C$33</f>
        <v>2078.91681816146</v>
      </c>
      <c r="T13" s="41" t="n">
        <f aca="false">'Monthly Viewing Forecast'!T9*'Title Inputs'!$C$33</f>
        <v>1823.2100495276</v>
      </c>
      <c r="U13" s="41" t="n">
        <f aca="false">'Monthly Viewing Forecast'!U9*'Title Inputs'!$C$33</f>
        <v>1598.9552134357</v>
      </c>
      <c r="V13" s="41" t="n">
        <f aca="false">'Monthly Viewing Forecast'!V9*'Title Inputs'!$C$33</f>
        <v>1402.28372218311</v>
      </c>
      <c r="W13" s="41" t="n">
        <f aca="false">'Monthly Viewing Forecast'!W9*'Title Inputs'!$C$33</f>
        <v>1229.80282435459</v>
      </c>
      <c r="X13" s="41" t="n">
        <f aca="false">'Monthly Viewing Forecast'!X9*'Title Inputs'!$C$33</f>
        <v>1078.53707695898</v>
      </c>
      <c r="Y13" s="41" t="n">
        <f aca="false">'Monthly Viewing Forecast'!Y9*'Title Inputs'!$C$33</f>
        <v>945.877016493021</v>
      </c>
      <c r="Z13" s="41" t="n">
        <f aca="false">'Monthly Viewing Forecast'!Z9*'Title Inputs'!$C$33</f>
        <v>829.534143464379</v>
      </c>
      <c r="AA13" s="41" t="n">
        <f aca="false">'Monthly Viewing Forecast'!AA9*'Title Inputs'!$C$33</f>
        <v>727.501443818261</v>
      </c>
      <c r="AB13" s="41" t="n">
        <f aca="false">'Monthly Viewing Forecast'!AB9*'Title Inputs'!$C$33</f>
        <v>638.018766228615</v>
      </c>
    </row>
    <row r="14" customFormat="false" ht="15" hidden="false" customHeight="false" outlineLevel="0" collapsed="false">
      <c r="A14" s="14"/>
      <c r="B14" s="9"/>
      <c r="C14" s="8" t="s">
        <v>216</v>
      </c>
      <c r="D14" s="34" t="n">
        <f aca="false">SUM(E14:AB14)</f>
        <v>824139.702412824</v>
      </c>
      <c r="E14" s="34" t="n">
        <f aca="false">E9+E10-E11-E12-E13</f>
        <v>-17662.5082558239</v>
      </c>
      <c r="F14" s="34" t="n">
        <f aca="false">F9+F10-F11-F12-F13</f>
        <v>75630.6177596425</v>
      </c>
      <c r="G14" s="34" t="n">
        <f aca="false">G9+G10-G11-G12-G13</f>
        <v>83523.1142752064</v>
      </c>
      <c r="H14" s="34" t="n">
        <f aca="false">H9+H10-H11-H12-H13</f>
        <v>77622.6012193561</v>
      </c>
      <c r="I14" s="34" t="n">
        <f aca="false">I9+I10-I11-I12-I13</f>
        <v>80230.2412693753</v>
      </c>
      <c r="J14" s="34" t="n">
        <f aca="false">J9+J10-J11-J12-J13</f>
        <v>70361.9215932421</v>
      </c>
      <c r="K14" s="34" t="n">
        <f aca="false">K9+K10-K11-K12-K13</f>
        <v>61707.4052372733</v>
      </c>
      <c r="L14" s="34" t="n">
        <f aca="false">L9+L10-L11-L12-L13</f>
        <v>54117.3943930887</v>
      </c>
      <c r="M14" s="34" t="n">
        <f aca="false">M9+M10-M11-M12-M13</f>
        <v>47460.9548827388</v>
      </c>
      <c r="N14" s="34" t="n">
        <f aca="false">N9+N10-N11-N12-N13</f>
        <v>41623.2574321619</v>
      </c>
      <c r="O14" s="34" t="n">
        <f aca="false">O9+O10-O11-O12-O13</f>
        <v>36503.596768006</v>
      </c>
      <c r="P14" s="34" t="n">
        <f aca="false">P9+P10-P11-P12-P13</f>
        <v>32013.6543655413</v>
      </c>
      <c r="Q14" s="34" t="n">
        <f aca="false">Q9+Q10-Q11-Q12-Q13</f>
        <v>28075.9748785797</v>
      </c>
      <c r="R14" s="34" t="n">
        <f aca="false">R9+R10-R11-R12-R13</f>
        <v>24622.6299685144</v>
      </c>
      <c r="S14" s="34" t="n">
        <f aca="false">S9+S10-S11-S12-S13</f>
        <v>21594.0464823871</v>
      </c>
      <c r="T14" s="34" t="n">
        <f aca="false">T9+T10-T11-T12-T13</f>
        <v>18937.9787650535</v>
      </c>
      <c r="U14" s="34" t="n">
        <f aca="false">U9+U10-U11-U12-U13</f>
        <v>16608.6073769519</v>
      </c>
      <c r="V14" s="34" t="n">
        <f aca="false">V9+V10-V11-V12-V13</f>
        <v>14565.7486695868</v>
      </c>
      <c r="W14" s="34" t="n">
        <f aca="false">W9+W10-W11-W12-W13</f>
        <v>12774.1615832277</v>
      </c>
      <c r="X14" s="34" t="n">
        <f aca="false">X9+X10-X11-X12-X13</f>
        <v>11202.9397084907</v>
      </c>
      <c r="Y14" s="34" t="n">
        <f aca="false">Y9+Y10-Y11-Y12-Y13</f>
        <v>9824.9781243463</v>
      </c>
      <c r="Z14" s="34" t="n">
        <f aca="false">Z9+Z10-Z11-Z12-Z13</f>
        <v>8616.50581505171</v>
      </c>
      <c r="AA14" s="34" t="n">
        <f aca="false">AA9+AA10-AA11-AA12-AA13</f>
        <v>7556.67559980035</v>
      </c>
      <c r="AB14" s="34" t="n">
        <f aca="false">AB9+AB10-AB11-AB12-AB13</f>
        <v>6627.20450102491</v>
      </c>
    </row>
    <row r="16" customFormat="false" ht="15" hidden="false" customHeight="false" outlineLevel="0" collapsed="false">
      <c r="A16" s="14" t="s">
        <v>194</v>
      </c>
      <c r="B16" s="8" t="s">
        <v>123</v>
      </c>
      <c r="C16" s="9" t="s">
        <v>213</v>
      </c>
      <c r="D16" s="34" t="n">
        <f aca="false">SUM(E16:AB16)</f>
        <v>644473.226109045</v>
      </c>
      <c r="E16" s="41" t="n">
        <f aca="false">'Monthly Viewing Forecast'!E17*Scenarios!$D$27</f>
        <v>85694.0187026055</v>
      </c>
      <c r="F16" s="41" t="n">
        <f aca="false">'Monthly Viewing Forecast'!F17*Scenarios!$D$27</f>
        <v>74725.184308672</v>
      </c>
      <c r="G16" s="41" t="n">
        <f aca="false">'Monthly Viewing Forecast'!G17*Scenarios!$D$27</f>
        <v>65160.3607171619</v>
      </c>
      <c r="H16" s="41" t="n">
        <f aca="false">'Monthly Viewing Forecast'!H17*Scenarios!$D$27</f>
        <v>56819.8345453652</v>
      </c>
      <c r="I16" s="41" t="n">
        <f aca="false">'Monthly Viewing Forecast'!I17*Scenarios!$D$27</f>
        <v>49546.8957235585</v>
      </c>
      <c r="J16" s="41" t="n">
        <f aca="false">'Monthly Viewing Forecast'!J17*Scenarios!$D$27</f>
        <v>43204.893070943</v>
      </c>
      <c r="K16" s="41" t="n">
        <f aca="false">'Monthly Viewing Forecast'!K17*Scenarios!$D$27</f>
        <v>37674.6667578623</v>
      </c>
      <c r="L16" s="41" t="n">
        <f aca="false">'Monthly Viewing Forecast'!L17*Scenarios!$D$27</f>
        <v>32852.3094128559</v>
      </c>
      <c r="M16" s="41" t="n">
        <f aca="false">'Monthly Viewing Forecast'!M17*Scenarios!$D$27</f>
        <v>28647.2138080104</v>
      </c>
      <c r="N16" s="41" t="n">
        <f aca="false">'Monthly Viewing Forecast'!N17*Scenarios!$D$27</f>
        <v>24980.370440585</v>
      </c>
      <c r="O16" s="41" t="n">
        <f aca="false">'Monthly Viewing Forecast'!O17*Scenarios!$D$27</f>
        <v>21782.8830241902</v>
      </c>
      <c r="P16" s="41" t="n">
        <f aca="false">'Monthly Viewing Forecast'!P17*Scenarios!$D$27</f>
        <v>18994.6739970938</v>
      </c>
      <c r="Q16" s="41" t="n">
        <f aca="false">'Monthly Viewing Forecast'!Q17*Scenarios!$D$27</f>
        <v>16563.3557254658</v>
      </c>
      <c r="R16" s="41" t="n">
        <f aca="false">'Monthly Viewing Forecast'!R17*Scenarios!$D$27</f>
        <v>14443.2461926062</v>
      </c>
      <c r="S16" s="41" t="n">
        <f aca="false">'Monthly Viewing Forecast'!S17*Scenarios!$D$27</f>
        <v>12594.5106799526</v>
      </c>
      <c r="T16" s="41" t="n">
        <f aca="false">'Monthly Viewing Forecast'!T17*Scenarios!$D$27</f>
        <v>10982.4133129187</v>
      </c>
      <c r="U16" s="41" t="n">
        <f aca="false">'Monthly Viewing Forecast'!U17*Scenarios!$D$27</f>
        <v>9576.66440886507</v>
      </c>
      <c r="V16" s="41" t="n">
        <f aca="false">'Monthly Viewing Forecast'!V17*Scenarios!$D$27</f>
        <v>8350.85136453034</v>
      </c>
      <c r="W16" s="41" t="n">
        <f aca="false">'Monthly Viewing Forecast'!W17*Scenarios!$D$27</f>
        <v>7281.94238987046</v>
      </c>
      <c r="X16" s="41" t="n">
        <f aca="false">'Monthly Viewing Forecast'!X17*Scenarios!$D$27</f>
        <v>6349.85376396704</v>
      </c>
      <c r="Y16" s="41" t="n">
        <f aca="false">'Monthly Viewing Forecast'!Y17*Scenarios!$D$27</f>
        <v>5537.07248217926</v>
      </c>
      <c r="Z16" s="41" t="n">
        <f aca="false">'Monthly Viewing Forecast'!Z17*Scenarios!$D$27</f>
        <v>4828.32720446031</v>
      </c>
      <c r="AA16" s="41" t="n">
        <f aca="false">'Monthly Viewing Forecast'!AA17*Scenarios!$D$27</f>
        <v>4210.30132228939</v>
      </c>
      <c r="AB16" s="41" t="n">
        <f aca="false">'Monthly Viewing Forecast'!AB17*Scenarios!$D$27</f>
        <v>3671.38275303635</v>
      </c>
    </row>
    <row r="17" customFormat="false" ht="15" hidden="false" customHeight="false" outlineLevel="0" collapsed="false">
      <c r="A17" s="14"/>
      <c r="B17" s="9"/>
      <c r="C17" s="9" t="s">
        <v>214</v>
      </c>
      <c r="D17" s="34" t="n">
        <f aca="false">SUM(E17:AB17)</f>
        <v>99106.8885223158</v>
      </c>
      <c r="E17" s="41" t="n">
        <f aca="false">'Monthly Viewing Forecast'!E15*Scenarios!$D$27*'Title Inputs'!$D$34</f>
        <v>13177.9990456134</v>
      </c>
      <c r="F17" s="41" t="n">
        <f aca="false">'Monthly Viewing Forecast'!F15*Scenarios!$D$27*'Title Inputs'!$D$34</f>
        <v>11491.2151677749</v>
      </c>
      <c r="G17" s="41" t="n">
        <f aca="false">'Monthly Viewing Forecast'!G15*Scenarios!$D$27*'Title Inputs'!$D$34</f>
        <v>10020.3396262997</v>
      </c>
      <c r="H17" s="41" t="n">
        <f aca="false">'Monthly Viewing Forecast'!H15*Scenarios!$D$27*'Title Inputs'!$D$34</f>
        <v>8737.73615413332</v>
      </c>
      <c r="I17" s="41" t="n">
        <f aca="false">'Monthly Viewing Forecast'!I15*Scenarios!$D$27*'Title Inputs'!$D$34</f>
        <v>7619.30592640426</v>
      </c>
      <c r="J17" s="41" t="n">
        <f aca="false">'Monthly Viewing Forecast'!J15*Scenarios!$D$27*'Title Inputs'!$D$34</f>
        <v>6644.03476782451</v>
      </c>
      <c r="K17" s="41" t="n">
        <f aca="false">'Monthly Viewing Forecast'!K15*Scenarios!$D$27*'Title Inputs'!$D$34</f>
        <v>5793.59831754297</v>
      </c>
      <c r="L17" s="41" t="n">
        <f aca="false">'Monthly Viewing Forecast'!L15*Scenarios!$D$27*'Title Inputs'!$D$34</f>
        <v>5052.01773289747</v>
      </c>
      <c r="M17" s="41" t="n">
        <f aca="false">'Monthly Viewing Forecast'!M15*Scenarios!$D$27*'Title Inputs'!$D$34</f>
        <v>4405.3594630866</v>
      </c>
      <c r="N17" s="41" t="n">
        <f aca="false">'Monthly Viewing Forecast'!N15*Scenarios!$D$27*'Title Inputs'!$D$34</f>
        <v>3841.47345181151</v>
      </c>
      <c r="O17" s="41" t="n">
        <f aca="false">'Monthly Viewing Forecast'!O15*Scenarios!$D$27*'Title Inputs'!$D$34</f>
        <v>3349.76484997964</v>
      </c>
      <c r="P17" s="41" t="n">
        <f aca="false">'Monthly Viewing Forecast'!P15*Scenarios!$D$27*'Title Inputs'!$D$34</f>
        <v>2920.99494918224</v>
      </c>
      <c r="Q17" s="41" t="n">
        <f aca="false">'Monthly Viewing Forecast'!Q15*Scenarios!$D$27*'Title Inputs'!$D$34</f>
        <v>2547.10759568692</v>
      </c>
      <c r="R17" s="41" t="n">
        <f aca="false">'Monthly Viewing Forecast'!R15*Scenarios!$D$27*'Title Inputs'!$D$34</f>
        <v>2221.07782343899</v>
      </c>
      <c r="S17" s="41" t="n">
        <f aca="false">'Monthly Viewing Forecast'!S15*Scenarios!$D$27*'Title Inputs'!$D$34</f>
        <v>1936.7798620388</v>
      </c>
      <c r="T17" s="41" t="n">
        <f aca="false">'Monthly Viewing Forecast'!T15*Scenarios!$D$27*'Title Inputs'!$D$34</f>
        <v>1688.87203969783</v>
      </c>
      <c r="U17" s="41" t="n">
        <f aca="false">'Monthly Viewing Forecast'!U15*Scenarios!$D$27*'Title Inputs'!$D$34</f>
        <v>1472.69641861651</v>
      </c>
      <c r="V17" s="41" t="n">
        <f aca="false">'Monthly Viewing Forecast'!V15*Scenarios!$D$27*'Title Inputs'!$D$34</f>
        <v>1284.1912770336</v>
      </c>
      <c r="W17" s="41" t="n">
        <f aca="false">'Monthly Viewing Forecast'!W15*Scenarios!$D$27*'Title Inputs'!$D$34</f>
        <v>1119.8147935733</v>
      </c>
      <c r="X17" s="41" t="n">
        <f aca="false">'Monthly Viewing Forecast'!X15*Scenarios!$D$27*'Title Inputs'!$D$34</f>
        <v>976.478499995915</v>
      </c>
      <c r="Y17" s="41" t="n">
        <f aca="false">'Monthly Viewing Forecast'!Y15*Scenarios!$D$27*'Title Inputs'!$D$34</f>
        <v>851.489251996438</v>
      </c>
      <c r="Z17" s="41" t="n">
        <f aca="false">'Monthly Viewing Forecast'!Z15*Scenarios!$D$27*'Title Inputs'!$D$34</f>
        <v>742.498627740894</v>
      </c>
      <c r="AA17" s="41" t="n">
        <f aca="false">'Monthly Viewing Forecast'!AA15*Scenarios!$D$27*'Title Inputs'!$D$34</f>
        <v>647.45880339006</v>
      </c>
      <c r="AB17" s="41" t="n">
        <f aca="false">'Monthly Viewing Forecast'!AB15*Scenarios!$D$27*'Title Inputs'!$D$34</f>
        <v>564.584076556132</v>
      </c>
    </row>
    <row r="18" customFormat="false" ht="15" hidden="false" customHeight="false" outlineLevel="0" collapsed="false">
      <c r="A18" s="14"/>
      <c r="B18" s="9"/>
      <c r="C18" s="9" t="s">
        <v>170</v>
      </c>
      <c r="D18" s="34" t="n">
        <f aca="false">SUM(E18:AB18)</f>
        <v>136500</v>
      </c>
      <c r="E18" s="41" t="n">
        <f aca="false">Scenarios!$D$28*INDEX(Assumptions!$C$23:$C$26,E$4)</f>
        <v>75075</v>
      </c>
      <c r="F18" s="41" t="n">
        <f aca="false">Scenarios!$D$28*INDEX(Assumptions!$C$23:$C$26,F$4)</f>
        <v>34125</v>
      </c>
      <c r="G18" s="41" t="n">
        <f aca="false">Scenarios!$D$28*INDEX(Assumptions!$C$23:$C$26,G$4)</f>
        <v>16380</v>
      </c>
      <c r="H18" s="41" t="n">
        <f aca="false">Scenarios!$D$28*INDEX(Assumptions!$C$23:$C$26,H$4)</f>
        <v>10920</v>
      </c>
      <c r="I18" s="41" t="n">
        <f aca="false">0</f>
        <v>0</v>
      </c>
      <c r="J18" s="41" t="n">
        <f aca="false">0</f>
        <v>0</v>
      </c>
      <c r="K18" s="41" t="n">
        <f aca="false">0</f>
        <v>0</v>
      </c>
      <c r="L18" s="41" t="n">
        <f aca="false">0</f>
        <v>0</v>
      </c>
      <c r="M18" s="41" t="n">
        <f aca="false">0</f>
        <v>0</v>
      </c>
      <c r="N18" s="41" t="n">
        <f aca="false">0</f>
        <v>0</v>
      </c>
      <c r="O18" s="41" t="n">
        <f aca="false">0</f>
        <v>0</v>
      </c>
      <c r="P18" s="41" t="n">
        <f aca="false">0</f>
        <v>0</v>
      </c>
      <c r="Q18" s="41" t="n">
        <f aca="false">0</f>
        <v>0</v>
      </c>
      <c r="R18" s="41" t="n">
        <f aca="false">0</f>
        <v>0</v>
      </c>
      <c r="S18" s="41" t="n">
        <f aca="false">0</f>
        <v>0</v>
      </c>
      <c r="T18" s="41" t="n">
        <f aca="false">0</f>
        <v>0</v>
      </c>
      <c r="U18" s="41" t="n">
        <f aca="false">0</f>
        <v>0</v>
      </c>
      <c r="V18" s="41" t="n">
        <f aca="false">0</f>
        <v>0</v>
      </c>
      <c r="W18" s="41" t="n">
        <f aca="false">0</f>
        <v>0</v>
      </c>
      <c r="X18" s="41" t="n">
        <f aca="false">0</f>
        <v>0</v>
      </c>
      <c r="Y18" s="41" t="n">
        <f aca="false">0</f>
        <v>0</v>
      </c>
      <c r="Z18" s="41" t="n">
        <f aca="false">0</f>
        <v>0</v>
      </c>
      <c r="AA18" s="41" t="n">
        <f aca="false">0</f>
        <v>0</v>
      </c>
      <c r="AB18" s="41" t="n">
        <f aca="false">0</f>
        <v>0</v>
      </c>
    </row>
    <row r="19" customFormat="false" ht="15" hidden="false" customHeight="false" outlineLevel="0" collapsed="false">
      <c r="A19" s="14"/>
      <c r="B19" s="9"/>
      <c r="C19" s="9" t="s">
        <v>171</v>
      </c>
      <c r="D19" s="34" t="n">
        <f aca="false">SUM(E19:AB19)</f>
        <v>52000</v>
      </c>
      <c r="E19" s="41" t="n">
        <f aca="false">'Title Inputs'!$D$32</f>
        <v>52000</v>
      </c>
      <c r="F19" s="41" t="n">
        <f aca="false">0</f>
        <v>0</v>
      </c>
      <c r="G19" s="41" t="n">
        <f aca="false">0</f>
        <v>0</v>
      </c>
      <c r="H19" s="41" t="n">
        <f aca="false">0</f>
        <v>0</v>
      </c>
      <c r="I19" s="41" t="n">
        <f aca="false">0</f>
        <v>0</v>
      </c>
      <c r="J19" s="41" t="n">
        <f aca="false">0</f>
        <v>0</v>
      </c>
      <c r="K19" s="41" t="n">
        <f aca="false">0</f>
        <v>0</v>
      </c>
      <c r="L19" s="41" t="n">
        <f aca="false">0</f>
        <v>0</v>
      </c>
      <c r="M19" s="41" t="n">
        <f aca="false">0</f>
        <v>0</v>
      </c>
      <c r="N19" s="41" t="n">
        <f aca="false">0</f>
        <v>0</v>
      </c>
      <c r="O19" s="41" t="n">
        <f aca="false">0</f>
        <v>0</v>
      </c>
      <c r="P19" s="41" t="n">
        <f aca="false">0</f>
        <v>0</v>
      </c>
      <c r="Q19" s="41" t="n">
        <f aca="false">0</f>
        <v>0</v>
      </c>
      <c r="R19" s="41" t="n">
        <f aca="false">0</f>
        <v>0</v>
      </c>
      <c r="S19" s="41" t="n">
        <f aca="false">0</f>
        <v>0</v>
      </c>
      <c r="T19" s="41" t="n">
        <f aca="false">0</f>
        <v>0</v>
      </c>
      <c r="U19" s="41" t="n">
        <f aca="false">0</f>
        <v>0</v>
      </c>
      <c r="V19" s="41" t="n">
        <f aca="false">0</f>
        <v>0</v>
      </c>
      <c r="W19" s="41" t="n">
        <f aca="false">0</f>
        <v>0</v>
      </c>
      <c r="X19" s="41" t="n">
        <f aca="false">0</f>
        <v>0</v>
      </c>
      <c r="Y19" s="41" t="n">
        <f aca="false">0</f>
        <v>0</v>
      </c>
      <c r="Z19" s="41" t="n">
        <f aca="false">0</f>
        <v>0</v>
      </c>
      <c r="AA19" s="41" t="n">
        <f aca="false">0</f>
        <v>0</v>
      </c>
      <c r="AB19" s="41" t="n">
        <f aca="false">0</f>
        <v>0</v>
      </c>
    </row>
    <row r="20" customFormat="false" ht="15" hidden="false" customHeight="false" outlineLevel="0" collapsed="false">
      <c r="A20" s="14"/>
      <c r="B20" s="9"/>
      <c r="C20" s="9" t="s">
        <v>215</v>
      </c>
      <c r="D20" s="34" t="n">
        <f aca="false">SUM(E20:AB20)</f>
        <v>74378.1207064028</v>
      </c>
      <c r="E20" s="41" t="n">
        <f aca="false">'Monthly Viewing Forecast'!E15*'Title Inputs'!$D$33</f>
        <v>9889.87565140633</v>
      </c>
      <c r="F20" s="41" t="n">
        <f aca="false">'Monthly Viewing Forecast'!F15*'Title Inputs'!$D$33</f>
        <v>8623.97156802632</v>
      </c>
      <c r="G20" s="41" t="n">
        <f aca="false">'Monthly Viewing Forecast'!G15*'Title Inputs'!$D$33</f>
        <v>7520.10320731895</v>
      </c>
      <c r="H20" s="41" t="n">
        <f aca="false">'Monthly Viewing Forecast'!H15*'Title Inputs'!$D$33</f>
        <v>6557.52999678213</v>
      </c>
      <c r="I20" s="41" t="n">
        <f aca="false">'Monthly Viewing Forecast'!I15*'Title Inputs'!$D$33</f>
        <v>5718.16615719401</v>
      </c>
      <c r="J20" s="41" t="n">
        <f aca="false">'Monthly Viewing Forecast'!J15*'Title Inputs'!$D$33</f>
        <v>4986.24088907318</v>
      </c>
      <c r="K20" s="41" t="n">
        <f aca="false">'Monthly Viewing Forecast'!K15*'Title Inputs'!$D$33</f>
        <v>4348.00205527181</v>
      </c>
      <c r="L20" s="41" t="n">
        <f aca="false">'Monthly Viewing Forecast'!L15*'Title Inputs'!$D$33</f>
        <v>3791.45779219702</v>
      </c>
      <c r="M20" s="41" t="n">
        <f aca="false">'Monthly Viewing Forecast'!M15*'Title Inputs'!$D$33</f>
        <v>3306.1511947958</v>
      </c>
      <c r="N20" s="41" t="n">
        <f aca="false">'Monthly Viewing Forecast'!N15*'Title Inputs'!$D$33</f>
        <v>2882.96384186194</v>
      </c>
      <c r="O20" s="41" t="n">
        <f aca="false">'Monthly Viewing Forecast'!O15*'Title Inputs'!$D$33</f>
        <v>2513.94447010361</v>
      </c>
      <c r="P20" s="41" t="n">
        <f aca="false">'Monthly Viewing Forecast'!P15*'Title Inputs'!$D$33</f>
        <v>2192.15957793035</v>
      </c>
      <c r="Q20" s="41" t="n">
        <f aca="false">'Monthly Viewing Forecast'!Q15*'Title Inputs'!$D$33</f>
        <v>1911.56315195526</v>
      </c>
      <c r="R20" s="41" t="n">
        <f aca="false">'Monthly Viewing Forecast'!R15*'Title Inputs'!$D$33</f>
        <v>1666.88306850499</v>
      </c>
      <c r="S20" s="41" t="n">
        <f aca="false">'Monthly Viewing Forecast'!S15*'Title Inputs'!$D$33</f>
        <v>1453.52203573635</v>
      </c>
      <c r="T20" s="41" t="n">
        <f aca="false">'Monthly Viewing Forecast'!T15*'Title Inputs'!$D$33</f>
        <v>1267.4712151621</v>
      </c>
      <c r="U20" s="41" t="n">
        <f aca="false">'Monthly Viewing Forecast'!U15*'Title Inputs'!$D$33</f>
        <v>1105.23489962135</v>
      </c>
      <c r="V20" s="41" t="n">
        <f aca="false">'Monthly Viewing Forecast'!V15*'Title Inputs'!$D$33</f>
        <v>963.764832469817</v>
      </c>
      <c r="W20" s="41" t="n">
        <f aca="false">'Monthly Viewing Forecast'!W15*'Title Inputs'!$D$33</f>
        <v>840.402933913681</v>
      </c>
      <c r="X20" s="41" t="n">
        <f aca="false">'Monthly Viewing Forecast'!X15*'Title Inputs'!$D$33</f>
        <v>732.831358372729</v>
      </c>
      <c r="Y20" s="41" t="n">
        <f aca="false">'Monthly Viewing Forecast'!Y15*'Title Inputs'!$D$33</f>
        <v>639.02894450102</v>
      </c>
      <c r="Z20" s="41" t="n">
        <f aca="false">'Monthly Viewing Forecast'!Z15*'Title Inputs'!$D$33</f>
        <v>557.23323960489</v>
      </c>
      <c r="AA20" s="41" t="n">
        <f aca="false">'Monthly Viewing Forecast'!AA15*'Title Inputs'!$D$33</f>
        <v>485.907384935464</v>
      </c>
      <c r="AB20" s="41" t="n">
        <f aca="false">'Monthly Viewing Forecast'!AB15*'Title Inputs'!$D$33</f>
        <v>423.711239663724</v>
      </c>
    </row>
    <row r="21" customFormat="false" ht="15" hidden="false" customHeight="false" outlineLevel="0" collapsed="false">
      <c r="A21" s="14"/>
      <c r="B21" s="9"/>
      <c r="C21" s="8" t="s">
        <v>216</v>
      </c>
      <c r="D21" s="34" t="n">
        <f aca="false">SUM(E21:AB21)</f>
        <v>480701.993924958</v>
      </c>
      <c r="E21" s="34" t="n">
        <f aca="false">E16+E17-E18-E19-E20</f>
        <v>-38092.8579031875</v>
      </c>
      <c r="F21" s="34" t="n">
        <f aca="false">F16+F17-F18-F19-F20</f>
        <v>43467.4279084205</v>
      </c>
      <c r="G21" s="34" t="n">
        <f aca="false">G16+G17-G18-G19-G20</f>
        <v>51280.5971361427</v>
      </c>
      <c r="H21" s="34" t="n">
        <f aca="false">H16+H17-H18-H19-H20</f>
        <v>48080.0407027164</v>
      </c>
      <c r="I21" s="34" t="n">
        <f aca="false">I16+I17-I18-I19-I20</f>
        <v>51448.0354927687</v>
      </c>
      <c r="J21" s="34" t="n">
        <f aca="false">J16+J17-J18-J19-J20</f>
        <v>44862.6869496943</v>
      </c>
      <c r="K21" s="34" t="n">
        <f aca="false">K16+K17-K18-K19-K20</f>
        <v>39120.2630201335</v>
      </c>
      <c r="L21" s="34" t="n">
        <f aca="false">L16+L17-L18-L19-L20</f>
        <v>34112.8693535564</v>
      </c>
      <c r="M21" s="34" t="n">
        <f aca="false">M16+M17-M18-M19-M20</f>
        <v>29746.4220763012</v>
      </c>
      <c r="N21" s="34" t="n">
        <f aca="false">N16+N17-N18-N19-N20</f>
        <v>25938.8800505346</v>
      </c>
      <c r="O21" s="34" t="n">
        <f aca="false">O16+O17-O18-O19-O20</f>
        <v>22618.7034040662</v>
      </c>
      <c r="P21" s="34" t="n">
        <f aca="false">P16+P17-P18-P19-P20</f>
        <v>19723.5093683457</v>
      </c>
      <c r="Q21" s="34" t="n">
        <f aca="false">Q16+Q17-Q18-Q19-Q20</f>
        <v>17198.9001691975</v>
      </c>
      <c r="R21" s="34" t="n">
        <f aca="false">R16+R17-R18-R19-R20</f>
        <v>14997.4409475402</v>
      </c>
      <c r="S21" s="34" t="n">
        <f aca="false">S16+S17-S18-S19-S20</f>
        <v>13077.768506255</v>
      </c>
      <c r="T21" s="34" t="n">
        <f aca="false">T16+T17-T18-T19-T20</f>
        <v>11403.8141374544</v>
      </c>
      <c r="U21" s="34" t="n">
        <f aca="false">U16+U17-U18-U19-U20</f>
        <v>9944.12592786023</v>
      </c>
      <c r="V21" s="34" t="n">
        <f aca="false">V16+V17-V18-V19-V20</f>
        <v>8671.27780909412</v>
      </c>
      <c r="W21" s="34" t="n">
        <f aca="false">W16+W17-W18-W19-W20</f>
        <v>7561.35424953007</v>
      </c>
      <c r="X21" s="34" t="n">
        <f aca="false">X16+X17-X18-X19-X20</f>
        <v>6593.50090559023</v>
      </c>
      <c r="Y21" s="34" t="n">
        <f aca="false">Y16+Y17-Y18-Y19-Y20</f>
        <v>5749.53278967467</v>
      </c>
      <c r="Z21" s="34" t="n">
        <f aca="false">Z16+Z17-Z18-Z19-Z20</f>
        <v>5013.59259259632</v>
      </c>
      <c r="AA21" s="34" t="n">
        <f aca="false">AA16+AA17-AA18-AA19-AA20</f>
        <v>4371.85274074399</v>
      </c>
      <c r="AB21" s="34" t="n">
        <f aca="false">AB16+AB17-AB18-AB19-AB20</f>
        <v>3812.25558992876</v>
      </c>
    </row>
    <row r="23" customFormat="false" ht="15" hidden="false" customHeight="false" outlineLevel="0" collapsed="false">
      <c r="A23" s="14" t="s">
        <v>194</v>
      </c>
      <c r="B23" s="8" t="s">
        <v>124</v>
      </c>
      <c r="C23" s="9" t="s">
        <v>213</v>
      </c>
      <c r="D23" s="34" t="n">
        <f aca="false">SUM(E23:AB23)</f>
        <v>407722.0477499</v>
      </c>
      <c r="E23" s="41" t="n">
        <f aca="false">'Monthly Viewing Forecast'!E23*Scenarios!$E$27</f>
        <v>57161.9343025044</v>
      </c>
      <c r="F23" s="41" t="n">
        <f aca="false">'Monthly Viewing Forecast'!F23*Scenarios!$E$27</f>
        <v>49387.9112373638</v>
      </c>
      <c r="G23" s="41" t="n">
        <f aca="false">'Monthly Viewing Forecast'!G23*Scenarios!$E$27</f>
        <v>42671.1553090823</v>
      </c>
      <c r="H23" s="41" t="n">
        <f aca="false">'Monthly Viewing Forecast'!H23*Scenarios!$E$27</f>
        <v>36867.8781870471</v>
      </c>
      <c r="I23" s="41" t="n">
        <f aca="false">'Monthly Viewing Forecast'!I23*Scenarios!$E$27</f>
        <v>31853.8467536087</v>
      </c>
      <c r="J23" s="41" t="n">
        <f aca="false">'Monthly Viewing Forecast'!J23*Scenarios!$E$27</f>
        <v>27521.7235951179</v>
      </c>
      <c r="K23" s="41" t="n">
        <f aca="false">'Monthly Viewing Forecast'!K23*Scenarios!$E$27</f>
        <v>23778.7691861819</v>
      </c>
      <c r="L23" s="41" t="n">
        <f aca="false">'Monthly Viewing Forecast'!L23*Scenarios!$E$27</f>
        <v>20544.8565768612</v>
      </c>
      <c r="M23" s="41" t="n">
        <f aca="false">'Monthly Viewing Forecast'!M23*Scenarios!$E$27</f>
        <v>17750.756082408</v>
      </c>
      <c r="N23" s="41" t="n">
        <f aca="false">'Monthly Viewing Forecast'!N23*Scenarios!$E$27</f>
        <v>15336.6532552005</v>
      </c>
      <c r="O23" s="41" t="n">
        <f aca="false">'Monthly Viewing Forecast'!O23*Scenarios!$E$27</f>
        <v>13250.8684124933</v>
      </c>
      <c r="P23" s="41" t="n">
        <f aca="false">'Monthly Viewing Forecast'!P23*Scenarios!$E$27</f>
        <v>11448.7503083942</v>
      </c>
      <c r="Q23" s="41" t="n">
        <f aca="false">'Monthly Viewing Forecast'!Q23*Scenarios!$E$27</f>
        <v>9891.72026645257</v>
      </c>
      <c r="R23" s="41" t="n">
        <f aca="false">'Monthly Viewing Forecast'!R23*Scenarios!$E$27</f>
        <v>8546.44631021502</v>
      </c>
      <c r="S23" s="41" t="n">
        <f aca="false">'Monthly Viewing Forecast'!S23*Scenarios!$E$27</f>
        <v>7384.12961202578</v>
      </c>
      <c r="T23" s="41" t="n">
        <f aca="false">'Monthly Viewing Forecast'!T23*Scenarios!$E$27</f>
        <v>6379.88798479027</v>
      </c>
      <c r="U23" s="41" t="n">
        <f aca="false">'Monthly Viewing Forecast'!U23*Scenarios!$E$27</f>
        <v>5512.2232188588</v>
      </c>
      <c r="V23" s="41" t="n">
        <f aca="false">'Monthly Viewing Forecast'!V23*Scenarios!$E$27</f>
        <v>4762.560861094</v>
      </c>
      <c r="W23" s="41" t="n">
        <f aca="false">'Monthly Viewing Forecast'!W23*Scenarios!$E$27</f>
        <v>4114.85258398522</v>
      </c>
      <c r="X23" s="41" t="n">
        <f aca="false">'Monthly Viewing Forecast'!X23*Scenarios!$E$27</f>
        <v>3555.23263256323</v>
      </c>
      <c r="Y23" s="41" t="n">
        <f aca="false">'Monthly Viewing Forecast'!Y23*Scenarios!$E$27</f>
        <v>3071.72099453463</v>
      </c>
      <c r="Z23" s="41" t="n">
        <f aca="false">'Monthly Viewing Forecast'!Z23*Scenarios!$E$27</f>
        <v>2653.96693927792</v>
      </c>
      <c r="AA23" s="41" t="n">
        <f aca="false">'Monthly Viewing Forecast'!AA23*Scenarios!$E$27</f>
        <v>2293.02743553612</v>
      </c>
      <c r="AB23" s="41" t="n">
        <f aca="false">'Monthly Viewing Forecast'!AB23*Scenarios!$E$27</f>
        <v>1981.17570430321</v>
      </c>
    </row>
    <row r="24" customFormat="false" ht="15" hidden="false" customHeight="false" outlineLevel="0" collapsed="false">
      <c r="A24" s="14"/>
      <c r="B24" s="9"/>
      <c r="C24" s="9" t="s">
        <v>214</v>
      </c>
      <c r="D24" s="34" t="n">
        <f aca="false">SUM(E24:AB24)</f>
        <v>68380.1234660838</v>
      </c>
      <c r="E24" s="41" t="n">
        <f aca="false">'Monthly Viewing Forecast'!E21*Scenarios!$E$27*'Title Inputs'!$E$34</f>
        <v>9586.77644914379</v>
      </c>
      <c r="F24" s="41" t="n">
        <f aca="false">'Monthly Viewing Forecast'!F21*Scenarios!$E$27*'Title Inputs'!$E$34</f>
        <v>8282.97485206024</v>
      </c>
      <c r="G24" s="41" t="n">
        <f aca="false">'Monthly Viewing Forecast'!G21*Scenarios!$E$27*'Title Inputs'!$E$34</f>
        <v>7156.49027218004</v>
      </c>
      <c r="H24" s="41" t="n">
        <f aca="false">'Monthly Viewing Forecast'!H21*Scenarios!$E$27*'Title Inputs'!$E$34</f>
        <v>6183.20759516356</v>
      </c>
      <c r="I24" s="41" t="n">
        <f aca="false">'Monthly Viewing Forecast'!I21*Scenarios!$E$27*'Title Inputs'!$E$34</f>
        <v>5342.29136222131</v>
      </c>
      <c r="J24" s="41" t="n">
        <f aca="false">'Monthly Viewing Forecast'!J21*Scenarios!$E$27*'Title Inputs'!$E$34</f>
        <v>4615.73973695921</v>
      </c>
      <c r="K24" s="41" t="n">
        <f aca="false">'Monthly Viewing Forecast'!K21*Scenarios!$E$27*'Title Inputs'!$E$34</f>
        <v>3987.99913273276</v>
      </c>
      <c r="L24" s="41" t="n">
        <f aca="false">'Monthly Viewing Forecast'!L21*Scenarios!$E$27*'Title Inputs'!$E$34</f>
        <v>3445.63125068111</v>
      </c>
      <c r="M24" s="41" t="n">
        <f aca="false">'Monthly Viewing Forecast'!M21*Scenarios!$E$27*'Title Inputs'!$E$34</f>
        <v>2977.02540058848</v>
      </c>
      <c r="N24" s="41" t="n">
        <f aca="false">'Monthly Viewing Forecast'!N21*Scenarios!$E$27*'Title Inputs'!$E$34</f>
        <v>2572.14994610844</v>
      </c>
      <c r="O24" s="41" t="n">
        <f aca="false">'Monthly Viewing Forecast'!O21*Scenarios!$E$27*'Title Inputs'!$E$34</f>
        <v>2222.33755343769</v>
      </c>
      <c r="P24" s="41" t="n">
        <f aca="false">'Monthly Viewing Forecast'!P21*Scenarios!$E$27*'Title Inputs'!$E$34</f>
        <v>1920.09964617017</v>
      </c>
      <c r="Q24" s="41" t="n">
        <f aca="false">'Monthly Viewing Forecast'!Q21*Scenarios!$E$27*'Title Inputs'!$E$34</f>
        <v>1658.96609429103</v>
      </c>
      <c r="R24" s="41" t="n">
        <f aca="false">'Monthly Viewing Forecast'!R21*Scenarios!$E$27*'Title Inputs'!$E$34</f>
        <v>1433.34670546745</v>
      </c>
      <c r="S24" s="41" t="n">
        <f aca="false">'Monthly Viewing Forecast'!S21*Scenarios!$E$27*'Title Inputs'!$E$34</f>
        <v>1238.41155352387</v>
      </c>
      <c r="T24" s="41" t="n">
        <f aca="false">'Monthly Viewing Forecast'!T21*Scenarios!$E$27*'Title Inputs'!$E$34</f>
        <v>1069.98758224463</v>
      </c>
      <c r="U24" s="41" t="n">
        <f aca="false">'Monthly Viewing Forecast'!U21*Scenarios!$E$27*'Title Inputs'!$E$34</f>
        <v>924.469271059357</v>
      </c>
      <c r="V24" s="41" t="n">
        <f aca="false">'Monthly Viewing Forecast'!V21*Scenarios!$E$27*'Title Inputs'!$E$34</f>
        <v>798.741450195284</v>
      </c>
      <c r="W24" s="41" t="n">
        <f aca="false">'Monthly Viewing Forecast'!W21*Scenarios!$E$27*'Title Inputs'!$E$34</f>
        <v>690.112612968726</v>
      </c>
      <c r="X24" s="41" t="n">
        <f aca="false">'Monthly Viewing Forecast'!X21*Scenarios!$E$27*'Title Inputs'!$E$34</f>
        <v>596.257297604979</v>
      </c>
      <c r="Y24" s="41" t="n">
        <f aca="false">'Monthly Viewing Forecast'!Y21*Scenarios!$E$27*'Title Inputs'!$E$34</f>
        <v>515.166305130702</v>
      </c>
      <c r="Z24" s="41" t="n">
        <f aca="false">'Monthly Viewing Forecast'!Z21*Scenarios!$E$27*'Title Inputs'!$E$34</f>
        <v>445.103687632926</v>
      </c>
      <c r="AA24" s="41" t="n">
        <f aca="false">'Monthly Viewing Forecast'!AA21*Scenarios!$E$27*'Title Inputs'!$E$34</f>
        <v>384.569586114848</v>
      </c>
      <c r="AB24" s="41" t="n">
        <f aca="false">'Monthly Viewing Forecast'!AB21*Scenarios!$E$27*'Title Inputs'!$E$34</f>
        <v>332.268122403229</v>
      </c>
    </row>
    <row r="25" customFormat="false" ht="15" hidden="false" customHeight="false" outlineLevel="0" collapsed="false">
      <c r="A25" s="14"/>
      <c r="B25" s="9"/>
      <c r="C25" s="9" t="s">
        <v>170</v>
      </c>
      <c r="D25" s="34" t="n">
        <f aca="false">SUM(E25:AB25)</f>
        <v>105000</v>
      </c>
      <c r="E25" s="41" t="n">
        <f aca="false">Scenarios!$E$28*INDEX(Assumptions!$C$23:$C$26,E$4)</f>
        <v>57750</v>
      </c>
      <c r="F25" s="41" t="n">
        <f aca="false">Scenarios!$E$28*INDEX(Assumptions!$C$23:$C$26,F$4)</f>
        <v>26250</v>
      </c>
      <c r="G25" s="41" t="n">
        <f aca="false">Scenarios!$E$28*INDEX(Assumptions!$C$23:$C$26,G$4)</f>
        <v>12600</v>
      </c>
      <c r="H25" s="41" t="n">
        <f aca="false">Scenarios!$E$28*INDEX(Assumptions!$C$23:$C$26,H$4)</f>
        <v>8400</v>
      </c>
      <c r="I25" s="41" t="n">
        <f aca="false">0</f>
        <v>0</v>
      </c>
      <c r="J25" s="41" t="n">
        <f aca="false">0</f>
        <v>0</v>
      </c>
      <c r="K25" s="41" t="n">
        <f aca="false">0</f>
        <v>0</v>
      </c>
      <c r="L25" s="41" t="n">
        <f aca="false">0</f>
        <v>0</v>
      </c>
      <c r="M25" s="41" t="n">
        <f aca="false">0</f>
        <v>0</v>
      </c>
      <c r="N25" s="41" t="n">
        <f aca="false">0</f>
        <v>0</v>
      </c>
      <c r="O25" s="41" t="n">
        <f aca="false">0</f>
        <v>0</v>
      </c>
      <c r="P25" s="41" t="n">
        <f aca="false">0</f>
        <v>0</v>
      </c>
      <c r="Q25" s="41" t="n">
        <f aca="false">0</f>
        <v>0</v>
      </c>
      <c r="R25" s="41" t="n">
        <f aca="false">0</f>
        <v>0</v>
      </c>
      <c r="S25" s="41" t="n">
        <f aca="false">0</f>
        <v>0</v>
      </c>
      <c r="T25" s="41" t="n">
        <f aca="false">0</f>
        <v>0</v>
      </c>
      <c r="U25" s="41" t="n">
        <f aca="false">0</f>
        <v>0</v>
      </c>
      <c r="V25" s="41" t="n">
        <f aca="false">0</f>
        <v>0</v>
      </c>
      <c r="W25" s="41" t="n">
        <f aca="false">0</f>
        <v>0</v>
      </c>
      <c r="X25" s="41" t="n">
        <f aca="false">0</f>
        <v>0</v>
      </c>
      <c r="Y25" s="41" t="n">
        <f aca="false">0</f>
        <v>0</v>
      </c>
      <c r="Z25" s="41" t="n">
        <f aca="false">0</f>
        <v>0</v>
      </c>
      <c r="AA25" s="41" t="n">
        <f aca="false">0</f>
        <v>0</v>
      </c>
      <c r="AB25" s="41" t="n">
        <f aca="false">0</f>
        <v>0</v>
      </c>
    </row>
    <row r="26" customFormat="false" ht="15" hidden="false" customHeight="false" outlineLevel="0" collapsed="false">
      <c r="A26" s="14"/>
      <c r="B26" s="9"/>
      <c r="C26" s="9" t="s">
        <v>171</v>
      </c>
      <c r="D26" s="34" t="n">
        <f aca="false">SUM(E26:AB26)</f>
        <v>46000</v>
      </c>
      <c r="E26" s="41" t="n">
        <f aca="false">'Title Inputs'!$E$32</f>
        <v>46000</v>
      </c>
      <c r="F26" s="41" t="n">
        <f aca="false">0</f>
        <v>0</v>
      </c>
      <c r="G26" s="41" t="n">
        <f aca="false">0</f>
        <v>0</v>
      </c>
      <c r="H26" s="41" t="n">
        <f aca="false">0</f>
        <v>0</v>
      </c>
      <c r="I26" s="41" t="n">
        <f aca="false">0</f>
        <v>0</v>
      </c>
      <c r="J26" s="41" t="n">
        <f aca="false">0</f>
        <v>0</v>
      </c>
      <c r="K26" s="41" t="n">
        <f aca="false">0</f>
        <v>0</v>
      </c>
      <c r="L26" s="41" t="n">
        <f aca="false">0</f>
        <v>0</v>
      </c>
      <c r="M26" s="41" t="n">
        <f aca="false">0</f>
        <v>0</v>
      </c>
      <c r="N26" s="41" t="n">
        <f aca="false">0</f>
        <v>0</v>
      </c>
      <c r="O26" s="41" t="n">
        <f aca="false">0</f>
        <v>0</v>
      </c>
      <c r="P26" s="41" t="n">
        <f aca="false">0</f>
        <v>0</v>
      </c>
      <c r="Q26" s="41" t="n">
        <f aca="false">0</f>
        <v>0</v>
      </c>
      <c r="R26" s="41" t="n">
        <f aca="false">0</f>
        <v>0</v>
      </c>
      <c r="S26" s="41" t="n">
        <f aca="false">0</f>
        <v>0</v>
      </c>
      <c r="T26" s="41" t="n">
        <f aca="false">0</f>
        <v>0</v>
      </c>
      <c r="U26" s="41" t="n">
        <f aca="false">0</f>
        <v>0</v>
      </c>
      <c r="V26" s="41" t="n">
        <f aca="false">0</f>
        <v>0</v>
      </c>
      <c r="W26" s="41" t="n">
        <f aca="false">0</f>
        <v>0</v>
      </c>
      <c r="X26" s="41" t="n">
        <f aca="false">0</f>
        <v>0</v>
      </c>
      <c r="Y26" s="41" t="n">
        <f aca="false">0</f>
        <v>0</v>
      </c>
      <c r="Z26" s="41" t="n">
        <f aca="false">0</f>
        <v>0</v>
      </c>
      <c r="AA26" s="41" t="n">
        <f aca="false">0</f>
        <v>0</v>
      </c>
      <c r="AB26" s="41" t="n">
        <f aca="false">0</f>
        <v>0</v>
      </c>
    </row>
    <row r="27" customFormat="false" ht="15" hidden="false" customHeight="false" outlineLevel="0" collapsed="false">
      <c r="A27" s="14"/>
      <c r="B27" s="9"/>
      <c r="C27" s="9" t="s">
        <v>215</v>
      </c>
      <c r="D27" s="34" t="n">
        <f aca="false">SUM(E27:AB27)</f>
        <v>54117.3527379191</v>
      </c>
      <c r="E27" s="41" t="n">
        <f aca="false">'Monthly Viewing Forecast'!E21*'Title Inputs'!$E$33</f>
        <v>7587.16036795718</v>
      </c>
      <c r="F27" s="41" t="n">
        <f aca="false">'Monthly Viewing Forecast'!F21*'Title Inputs'!$E$33</f>
        <v>6555.306557915</v>
      </c>
      <c r="G27" s="41" t="n">
        <f aca="false">'Monthly Viewing Forecast'!G21*'Title Inputs'!$E$33</f>
        <v>5663.78486603856</v>
      </c>
      <c r="H27" s="41" t="n">
        <f aca="false">'Monthly Viewing Forecast'!H21*'Title Inputs'!$E$33</f>
        <v>4893.51012425732</v>
      </c>
      <c r="I27" s="41" t="n">
        <f aca="false">'Monthly Viewing Forecast'!I21*'Title Inputs'!$E$33</f>
        <v>4227.99274735832</v>
      </c>
      <c r="J27" s="41" t="n">
        <f aca="false">'Monthly Viewing Forecast'!J21*'Title Inputs'!$E$33</f>
        <v>3652.98573371759</v>
      </c>
      <c r="K27" s="41" t="n">
        <f aca="false">'Monthly Viewing Forecast'!K21*'Title Inputs'!$E$33</f>
        <v>3156.179673932</v>
      </c>
      <c r="L27" s="41" t="n">
        <f aca="false">'Monthly Viewing Forecast'!L21*'Title Inputs'!$E$33</f>
        <v>2726.93923827725</v>
      </c>
      <c r="M27" s="41" t="n">
        <f aca="false">'Monthly Viewing Forecast'!M21*'Title Inputs'!$E$33</f>
        <v>2356.07550187154</v>
      </c>
      <c r="N27" s="41" t="n">
        <f aca="false">'Monthly Viewing Forecast'!N21*'Title Inputs'!$E$33</f>
        <v>2035.64923361701</v>
      </c>
      <c r="O27" s="41" t="n">
        <f aca="false">'Monthly Viewing Forecast'!O21*'Title Inputs'!$E$33</f>
        <v>1758.8009378451</v>
      </c>
      <c r="P27" s="41" t="n">
        <f aca="false">'Monthly Viewing Forecast'!P21*'Title Inputs'!$E$33</f>
        <v>1519.60401029816</v>
      </c>
      <c r="Q27" s="41" t="n">
        <f aca="false">'Monthly Viewing Forecast'!Q21*'Title Inputs'!$E$33</f>
        <v>1312.93786489761</v>
      </c>
      <c r="R27" s="41" t="n">
        <f aca="false">'Monthly Viewing Forecast'!R21*'Title Inputs'!$E$33</f>
        <v>1134.37831527154</v>
      </c>
      <c r="S27" s="41" t="n">
        <f aca="false">'Monthly Viewing Forecast'!S21*'Title Inputs'!$E$33</f>
        <v>980.10286439461</v>
      </c>
      <c r="T27" s="41" t="n">
        <f aca="false">'Monthly Viewing Forecast'!T21*'Title Inputs'!$E$33</f>
        <v>846.808874836943</v>
      </c>
      <c r="U27" s="41" t="n">
        <f aca="false">'Monthly Viewing Forecast'!U21*'Title Inputs'!$E$33</f>
        <v>731.642867859118</v>
      </c>
      <c r="V27" s="41" t="n">
        <f aca="false">'Monthly Viewing Forecast'!V21*'Title Inputs'!$E$33</f>
        <v>632.139437830278</v>
      </c>
      <c r="W27" s="41" t="n">
        <f aca="false">'Monthly Viewing Forecast'!W21*'Title Inputs'!$E$33</f>
        <v>546.16847428536</v>
      </c>
      <c r="X27" s="41" t="n">
        <f aca="false">'Monthly Viewing Forecast'!X21*'Title Inputs'!$E$33</f>
        <v>471.889561782551</v>
      </c>
      <c r="Y27" s="41" t="n">
        <f aca="false">'Monthly Viewing Forecast'!Y21*'Title Inputs'!$E$33</f>
        <v>407.712581380124</v>
      </c>
      <c r="Z27" s="41" t="n">
        <f aca="false">'Monthly Viewing Forecast'!Z21*'Title Inputs'!$E$33</f>
        <v>352.263670312427</v>
      </c>
      <c r="AA27" s="41" t="n">
        <f aca="false">'Monthly Viewing Forecast'!AA21*'Title Inputs'!$E$33</f>
        <v>304.355811149937</v>
      </c>
      <c r="AB27" s="41" t="n">
        <f aca="false">'Monthly Viewing Forecast'!AB21*'Title Inputs'!$E$33</f>
        <v>262.963420833546</v>
      </c>
    </row>
    <row r="28" customFormat="false" ht="15" hidden="false" customHeight="false" outlineLevel="0" collapsed="false">
      <c r="A28" s="14"/>
      <c r="B28" s="9"/>
      <c r="C28" s="8" t="s">
        <v>216</v>
      </c>
      <c r="D28" s="34" t="n">
        <f aca="false">SUM(E28:AB28)</f>
        <v>270984.818478065</v>
      </c>
      <c r="E28" s="34" t="n">
        <f aca="false">E23+E24-E25-E26-E27</f>
        <v>-44588.449616309</v>
      </c>
      <c r="F28" s="34" t="n">
        <f aca="false">F23+F24-F25-F26-F27</f>
        <v>24865.579531509</v>
      </c>
      <c r="G28" s="34" t="n">
        <f aca="false">G23+G24-G25-G26-G27</f>
        <v>31563.8607152238</v>
      </c>
      <c r="H28" s="34" t="n">
        <f aca="false">H23+H24-H25-H26-H27</f>
        <v>29757.5756579533</v>
      </c>
      <c r="I28" s="34" t="n">
        <f aca="false">I23+I24-I25-I26-I27</f>
        <v>32968.1453684717</v>
      </c>
      <c r="J28" s="34" t="n">
        <f aca="false">J23+J24-J25-J26-J27</f>
        <v>28484.4775983595</v>
      </c>
      <c r="K28" s="34" t="n">
        <f aca="false">K23+K24-K25-K26-K27</f>
        <v>24610.5886449826</v>
      </c>
      <c r="L28" s="34" t="n">
        <f aca="false">L23+L24-L25-L26-L27</f>
        <v>21263.548589265</v>
      </c>
      <c r="M28" s="34" t="n">
        <f aca="false">M23+M24-M25-M26-M27</f>
        <v>18371.705981125</v>
      </c>
      <c r="N28" s="34" t="n">
        <f aca="false">N23+N24-N25-N26-N27</f>
        <v>15873.153967692</v>
      </c>
      <c r="O28" s="34" t="n">
        <f aca="false">O23+O24-O25-O26-O27</f>
        <v>13714.4050280859</v>
      </c>
      <c r="P28" s="34" t="n">
        <f aca="false">P23+P24-P25-P26-P27</f>
        <v>11849.2459442662</v>
      </c>
      <c r="Q28" s="34" t="n">
        <f aca="false">Q23+Q24-Q25-Q26-Q27</f>
        <v>10237.748495846</v>
      </c>
      <c r="R28" s="34" t="n">
        <f aca="false">R23+R24-R25-R26-R27</f>
        <v>8845.41470041093</v>
      </c>
      <c r="S28" s="34" t="n">
        <f aca="false">S23+S24-S25-S26-S27</f>
        <v>7642.43830115504</v>
      </c>
      <c r="T28" s="34" t="n">
        <f aca="false">T23+T24-T25-T26-T27</f>
        <v>6603.06669219796</v>
      </c>
      <c r="U28" s="34" t="n">
        <f aca="false">U23+U24-U25-U26-U27</f>
        <v>5705.04962205903</v>
      </c>
      <c r="V28" s="34" t="n">
        <f aca="false">V23+V24-V25-V26-V27</f>
        <v>4929.16287345901</v>
      </c>
      <c r="W28" s="34" t="n">
        <f aca="false">W23+W24-W25-W26-W27</f>
        <v>4258.79672266858</v>
      </c>
      <c r="X28" s="34" t="n">
        <f aca="false">X23+X24-X25-X26-X27</f>
        <v>3679.60036838565</v>
      </c>
      <c r="Y28" s="34" t="n">
        <f aca="false">Y23+Y24-Y25-Y26-Y27</f>
        <v>3179.17471828521</v>
      </c>
      <c r="Z28" s="34" t="n">
        <f aca="false">Z23+Z24-Z25-Z26-Z27</f>
        <v>2746.80695659842</v>
      </c>
      <c r="AA28" s="34" t="n">
        <f aca="false">AA23+AA24-AA25-AA26-AA27</f>
        <v>2373.24121050103</v>
      </c>
      <c r="AB28" s="34" t="n">
        <f aca="false">AB23+AB24-AB25-AB26-AB27</f>
        <v>2050.48040587289</v>
      </c>
    </row>
    <row r="30" customFormat="false" ht="15" hidden="false" customHeight="false" outlineLevel="0" collapsed="false">
      <c r="A30" s="14" t="s">
        <v>194</v>
      </c>
      <c r="B30" s="8" t="s">
        <v>125</v>
      </c>
      <c r="C30" s="9" t="s">
        <v>213</v>
      </c>
      <c r="D30" s="34" t="n">
        <f aca="false">SUM(E30:AB30)</f>
        <v>186760.505705698</v>
      </c>
      <c r="E30" s="41" t="n">
        <f aca="false">'Monthly Viewing Forecast'!E29*Scenarios!$F$27</f>
        <v>28245.1919632373</v>
      </c>
      <c r="F30" s="41" t="n">
        <f aca="false">'Monthly Viewing Forecast'!F29*Scenarios!$F$27</f>
        <v>24064.9035526782</v>
      </c>
      <c r="G30" s="41" t="n">
        <f aca="false">'Monthly Viewing Forecast'!G29*Scenarios!$F$27</f>
        <v>20503.2978268818</v>
      </c>
      <c r="H30" s="41" t="n">
        <f aca="false">'Monthly Viewing Forecast'!H29*Scenarios!$F$27</f>
        <v>17468.8097485033</v>
      </c>
      <c r="I30" s="41" t="n">
        <f aca="false">'Monthly Viewing Forecast'!I29*Scenarios!$F$27</f>
        <v>14883.4259057248</v>
      </c>
      <c r="J30" s="41" t="n">
        <f aca="false">'Monthly Viewing Forecast'!J29*Scenarios!$F$27</f>
        <v>12680.6788716775</v>
      </c>
      <c r="K30" s="41" t="n">
        <f aca="false">'Monthly Viewing Forecast'!K29*Scenarios!$F$27</f>
        <v>10803.9383986693</v>
      </c>
      <c r="L30" s="41" t="n">
        <f aca="false">'Monthly Viewing Forecast'!L29*Scenarios!$F$27</f>
        <v>9204.9555156662</v>
      </c>
      <c r="M30" s="41" t="n">
        <f aca="false">'Monthly Viewing Forecast'!M29*Scenarios!$F$27</f>
        <v>7842.6220993476</v>
      </c>
      <c r="N30" s="41" t="n">
        <f aca="false">'Monthly Viewing Forecast'!N29*Scenarios!$F$27</f>
        <v>6681.91402864416</v>
      </c>
      <c r="O30" s="41" t="n">
        <f aca="false">'Monthly Viewing Forecast'!O29*Scenarios!$F$27</f>
        <v>5692.99075240482</v>
      </c>
      <c r="P30" s="41" t="n">
        <f aca="false">'Monthly Viewing Forecast'!P29*Scenarios!$F$27</f>
        <v>4850.42812104891</v>
      </c>
      <c r="Q30" s="41" t="n">
        <f aca="false">'Monthly Viewing Forecast'!Q29*Scenarios!$F$27</f>
        <v>4132.56475913367</v>
      </c>
      <c r="R30" s="41" t="n">
        <f aca="false">'Monthly Viewing Forecast'!R29*Scenarios!$F$27</f>
        <v>3520.94517478189</v>
      </c>
      <c r="S30" s="41" t="n">
        <f aca="false">'Monthly Viewing Forecast'!S29*Scenarios!$F$27</f>
        <v>2999.84528891417</v>
      </c>
      <c r="T30" s="41" t="n">
        <f aca="false">'Monthly Viewing Forecast'!T29*Scenarios!$F$27</f>
        <v>2555.86818615487</v>
      </c>
      <c r="U30" s="41" t="n">
        <f aca="false">'Monthly Viewing Forecast'!U29*Scenarios!$F$27</f>
        <v>2177.59969460395</v>
      </c>
      <c r="V30" s="41" t="n">
        <f aca="false">'Monthly Viewing Forecast'!V29*Scenarios!$F$27</f>
        <v>1855.31493980257</v>
      </c>
      <c r="W30" s="41" t="n">
        <f aca="false">'Monthly Viewing Forecast'!W29*Scenarios!$F$27</f>
        <v>1580.72832871179</v>
      </c>
      <c r="X30" s="41" t="n">
        <f aca="false">'Monthly Viewing Forecast'!X29*Scenarios!$F$27</f>
        <v>1346.78053606244</v>
      </c>
      <c r="Y30" s="41" t="n">
        <f aca="false">'Monthly Viewing Forecast'!Y29*Scenarios!$F$27</f>
        <v>1147.4570167252</v>
      </c>
      <c r="Z30" s="41" t="n">
        <f aca="false">'Monthly Viewing Forecast'!Z29*Scenarios!$F$27</f>
        <v>977.63337824987</v>
      </c>
      <c r="AA30" s="41" t="n">
        <f aca="false">'Monthly Viewing Forecast'!AA29*Scenarios!$F$27</f>
        <v>832.943638268889</v>
      </c>
      <c r="AB30" s="41" t="n">
        <f aca="false">'Monthly Viewing Forecast'!AB29*Scenarios!$F$27</f>
        <v>709.667979805094</v>
      </c>
    </row>
    <row r="31" customFormat="false" ht="15" hidden="false" customHeight="false" outlineLevel="0" collapsed="false">
      <c r="A31" s="14"/>
      <c r="B31" s="9"/>
      <c r="C31" s="9" t="s">
        <v>214</v>
      </c>
      <c r="D31" s="34" t="n">
        <f aca="false">SUM(E31:AB31)</f>
        <v>36829.7666584824</v>
      </c>
      <c r="E31" s="41" t="n">
        <f aca="false">'Monthly Viewing Forecast'!E27*Scenarios!$F$27*'Title Inputs'!$F$34</f>
        <v>5570.04183137812</v>
      </c>
      <c r="F31" s="41" t="n">
        <f aca="false">'Monthly Viewing Forecast'!F27*Scenarios!$F$27*'Title Inputs'!$F$34</f>
        <v>4745.67564033415</v>
      </c>
      <c r="G31" s="41" t="n">
        <f aca="false">'Monthly Viewing Forecast'!G27*Scenarios!$F$27*'Title Inputs'!$F$34</f>
        <v>4043.3156455647</v>
      </c>
      <c r="H31" s="41" t="n">
        <f aca="false">'Monthly Viewing Forecast'!H27*Scenarios!$F$27*'Title Inputs'!$F$34</f>
        <v>3444.90493002112</v>
      </c>
      <c r="I31" s="41" t="n">
        <f aca="false">'Monthly Viewing Forecast'!I27*Scenarios!$F$27*'Title Inputs'!$F$34</f>
        <v>2935.059000378</v>
      </c>
      <c r="J31" s="41" t="n">
        <f aca="false">'Monthly Viewing Forecast'!J27*Scenarios!$F$27*'Title Inputs'!$F$34</f>
        <v>2500.67026832205</v>
      </c>
      <c r="K31" s="41" t="n">
        <f aca="false">'Monthly Viewing Forecast'!K27*Scenarios!$F$27*'Title Inputs'!$F$34</f>
        <v>2130.57106861039</v>
      </c>
      <c r="L31" s="41" t="n">
        <f aca="false">'Monthly Viewing Forecast'!L27*Scenarios!$F$27*'Title Inputs'!$F$34</f>
        <v>1815.24655045605</v>
      </c>
      <c r="M31" s="41" t="n">
        <f aca="false">'Monthly Viewing Forecast'!M27*Scenarios!$F$27*'Title Inputs'!$F$34</f>
        <v>1546.59006098856</v>
      </c>
      <c r="N31" s="41" t="n">
        <f aca="false">'Monthly Viewing Forecast'!N27*Scenarios!$F$27*'Title Inputs'!$F$34</f>
        <v>1317.69473196225</v>
      </c>
      <c r="O31" s="41" t="n">
        <f aca="false">'Monthly Viewing Forecast'!O27*Scenarios!$F$27*'Title Inputs'!$F$34</f>
        <v>1122.67591163184</v>
      </c>
      <c r="P31" s="41" t="n">
        <f aca="false">'Monthly Viewing Forecast'!P27*Scenarios!$F$27*'Title Inputs'!$F$34</f>
        <v>956.519876710325</v>
      </c>
      <c r="Q31" s="41" t="n">
        <f aca="false">'Monthly Viewing Forecast'!Q27*Scenarios!$F$27*'Title Inputs'!$F$34</f>
        <v>814.954934957197</v>
      </c>
      <c r="R31" s="41" t="n">
        <f aca="false">'Monthly Viewing Forecast'!R27*Scenarios!$F$27*'Title Inputs'!$F$34</f>
        <v>694.341604583532</v>
      </c>
      <c r="S31" s="41" t="n">
        <f aca="false">'Monthly Viewing Forecast'!S27*Scenarios!$F$27*'Title Inputs'!$F$34</f>
        <v>591.579047105169</v>
      </c>
      <c r="T31" s="41" t="n">
        <f aca="false">'Monthly Viewing Forecast'!T27*Scenarios!$F$27*'Title Inputs'!$F$34</f>
        <v>504.025348133604</v>
      </c>
      <c r="U31" s="41" t="n">
        <f aca="false">'Monthly Viewing Forecast'!U27*Scenarios!$F$27*'Title Inputs'!$F$34</f>
        <v>429.429596609831</v>
      </c>
      <c r="V31" s="41" t="n">
        <f aca="false">'Monthly Viewing Forecast'!V27*Scenarios!$F$27*'Title Inputs'!$F$34</f>
        <v>365.874016311576</v>
      </c>
      <c r="W31" s="41" t="n">
        <f aca="false">'Monthly Viewing Forecast'!W27*Scenarios!$F$27*'Title Inputs'!$F$34</f>
        <v>311.724661897463</v>
      </c>
      <c r="X31" s="41" t="n">
        <f aca="false">'Monthly Viewing Forecast'!X27*Scenarios!$F$27*'Title Inputs'!$F$34</f>
        <v>265.589411936638</v>
      </c>
      <c r="Y31" s="41" t="n">
        <f aca="false">'Monthly Viewing Forecast'!Y27*Scenarios!$F$27*'Title Inputs'!$F$34</f>
        <v>226.282178970016</v>
      </c>
      <c r="Z31" s="41" t="n">
        <f aca="false">'Monthly Viewing Forecast'!Z27*Scenarios!$F$27*'Title Inputs'!$F$34</f>
        <v>192.792416482453</v>
      </c>
      <c r="AA31" s="41" t="n">
        <f aca="false">'Monthly Viewing Forecast'!AA27*Scenarios!$F$27*'Title Inputs'!$F$34</f>
        <v>164.25913884305</v>
      </c>
      <c r="AB31" s="41" t="n">
        <f aca="false">'Monthly Viewing Forecast'!AB27*Scenarios!$F$27*'Title Inputs'!$F$34</f>
        <v>139.948786294279</v>
      </c>
    </row>
    <row r="32" customFormat="false" ht="15" hidden="false" customHeight="false" outlineLevel="0" collapsed="false">
      <c r="A32" s="14"/>
      <c r="B32" s="9"/>
      <c r="C32" s="9" t="s">
        <v>170</v>
      </c>
      <c r="D32" s="34" t="n">
        <f aca="false">SUM(E32:AB32)</f>
        <v>75600</v>
      </c>
      <c r="E32" s="41" t="n">
        <f aca="false">Scenarios!$F$28*INDEX(Assumptions!$C$23:$C$26,E$4)</f>
        <v>41580</v>
      </c>
      <c r="F32" s="41" t="n">
        <f aca="false">Scenarios!$F$28*INDEX(Assumptions!$C$23:$C$26,F$4)</f>
        <v>18900</v>
      </c>
      <c r="G32" s="41" t="n">
        <f aca="false">Scenarios!$F$28*INDEX(Assumptions!$C$23:$C$26,G$4)</f>
        <v>9072</v>
      </c>
      <c r="H32" s="41" t="n">
        <f aca="false">Scenarios!$F$28*INDEX(Assumptions!$C$23:$C$26,H$4)</f>
        <v>6048</v>
      </c>
      <c r="I32" s="41" t="n">
        <f aca="false">0</f>
        <v>0</v>
      </c>
      <c r="J32" s="41" t="n">
        <f aca="false">0</f>
        <v>0</v>
      </c>
      <c r="K32" s="41" t="n">
        <f aca="false">0</f>
        <v>0</v>
      </c>
      <c r="L32" s="41" t="n">
        <f aca="false">0</f>
        <v>0</v>
      </c>
      <c r="M32" s="41" t="n">
        <f aca="false">0</f>
        <v>0</v>
      </c>
      <c r="N32" s="41" t="n">
        <f aca="false">0</f>
        <v>0</v>
      </c>
      <c r="O32" s="41" t="n">
        <f aca="false">0</f>
        <v>0</v>
      </c>
      <c r="P32" s="41" t="n">
        <f aca="false">0</f>
        <v>0</v>
      </c>
      <c r="Q32" s="41" t="n">
        <f aca="false">0</f>
        <v>0</v>
      </c>
      <c r="R32" s="41" t="n">
        <f aca="false">0</f>
        <v>0</v>
      </c>
      <c r="S32" s="41" t="n">
        <f aca="false">0</f>
        <v>0</v>
      </c>
      <c r="T32" s="41" t="n">
        <f aca="false">0</f>
        <v>0</v>
      </c>
      <c r="U32" s="41" t="n">
        <f aca="false">0</f>
        <v>0</v>
      </c>
      <c r="V32" s="41" t="n">
        <f aca="false">0</f>
        <v>0</v>
      </c>
      <c r="W32" s="41" t="n">
        <f aca="false">0</f>
        <v>0</v>
      </c>
      <c r="X32" s="41" t="n">
        <f aca="false">0</f>
        <v>0</v>
      </c>
      <c r="Y32" s="41" t="n">
        <f aca="false">0</f>
        <v>0</v>
      </c>
      <c r="Z32" s="41" t="n">
        <f aca="false">0</f>
        <v>0</v>
      </c>
      <c r="AA32" s="41" t="n">
        <f aca="false">0</f>
        <v>0</v>
      </c>
      <c r="AB32" s="41" t="n">
        <f aca="false">0</f>
        <v>0</v>
      </c>
    </row>
    <row r="33" customFormat="false" ht="15" hidden="false" customHeight="false" outlineLevel="0" collapsed="false">
      <c r="A33" s="14"/>
      <c r="B33" s="9"/>
      <c r="C33" s="9" t="s">
        <v>171</v>
      </c>
      <c r="D33" s="34" t="n">
        <f aca="false">SUM(E33:AB33)</f>
        <v>44000</v>
      </c>
      <c r="E33" s="41" t="n">
        <f aca="false">'Title Inputs'!$F$32</f>
        <v>44000</v>
      </c>
      <c r="F33" s="41" t="n">
        <f aca="false">0</f>
        <v>0</v>
      </c>
      <c r="G33" s="41" t="n">
        <f aca="false">0</f>
        <v>0</v>
      </c>
      <c r="H33" s="41" t="n">
        <f aca="false">0</f>
        <v>0</v>
      </c>
      <c r="I33" s="41" t="n">
        <f aca="false">0</f>
        <v>0</v>
      </c>
      <c r="J33" s="41" t="n">
        <f aca="false">0</f>
        <v>0</v>
      </c>
      <c r="K33" s="41" t="n">
        <f aca="false">0</f>
        <v>0</v>
      </c>
      <c r="L33" s="41" t="n">
        <f aca="false">0</f>
        <v>0</v>
      </c>
      <c r="M33" s="41" t="n">
        <f aca="false">0</f>
        <v>0</v>
      </c>
      <c r="N33" s="41" t="n">
        <f aca="false">0</f>
        <v>0</v>
      </c>
      <c r="O33" s="41" t="n">
        <f aca="false">0</f>
        <v>0</v>
      </c>
      <c r="P33" s="41" t="n">
        <f aca="false">0</f>
        <v>0</v>
      </c>
      <c r="Q33" s="41" t="n">
        <f aca="false">0</f>
        <v>0</v>
      </c>
      <c r="R33" s="41" t="n">
        <f aca="false">0</f>
        <v>0</v>
      </c>
      <c r="S33" s="41" t="n">
        <f aca="false">0</f>
        <v>0</v>
      </c>
      <c r="T33" s="41" t="n">
        <f aca="false">0</f>
        <v>0</v>
      </c>
      <c r="U33" s="41" t="n">
        <f aca="false">0</f>
        <v>0</v>
      </c>
      <c r="V33" s="41" t="n">
        <f aca="false">0</f>
        <v>0</v>
      </c>
      <c r="W33" s="41" t="n">
        <f aca="false">0</f>
        <v>0</v>
      </c>
      <c r="X33" s="41" t="n">
        <f aca="false">0</f>
        <v>0</v>
      </c>
      <c r="Y33" s="41" t="n">
        <f aca="false">0</f>
        <v>0</v>
      </c>
      <c r="Z33" s="41" t="n">
        <f aca="false">0</f>
        <v>0</v>
      </c>
      <c r="AA33" s="41" t="n">
        <f aca="false">0</f>
        <v>0</v>
      </c>
      <c r="AB33" s="41" t="n">
        <f aca="false">0</f>
        <v>0</v>
      </c>
    </row>
    <row r="34" customFormat="false" ht="15" hidden="false" customHeight="false" outlineLevel="0" collapsed="false">
      <c r="A34" s="14"/>
      <c r="B34" s="9"/>
      <c r="C34" s="9" t="s">
        <v>215</v>
      </c>
      <c r="D34" s="34" t="n">
        <f aca="false">SUM(E34:AB34)</f>
        <v>34109.1158641595</v>
      </c>
      <c r="E34" s="41" t="n">
        <f aca="false">'Monthly Viewing Forecast'!E27*'Title Inputs'!$F$33</f>
        <v>5158.57740714017</v>
      </c>
      <c r="F34" s="41" t="n">
        <f aca="false">'Monthly Viewing Forecast'!F27*'Title Inputs'!$F$33</f>
        <v>4395.10795088343</v>
      </c>
      <c r="G34" s="41" t="n">
        <f aca="false">'Monthly Viewing Forecast'!G27*'Title Inputs'!$F$33</f>
        <v>3744.63197415268</v>
      </c>
      <c r="H34" s="41" t="n">
        <f aca="false">'Monthly Viewing Forecast'!H27*'Title Inputs'!$F$33</f>
        <v>3190.42644197808</v>
      </c>
      <c r="I34" s="41" t="n">
        <f aca="false">'Monthly Viewing Forecast'!I27*'Title Inputs'!$F$33</f>
        <v>2718.24332856533</v>
      </c>
      <c r="J34" s="41" t="n">
        <f aca="false">'Monthly Viewing Forecast'!J27*'Title Inputs'!$F$33</f>
        <v>2315.94331593766</v>
      </c>
      <c r="K34" s="41" t="n">
        <f aca="false">'Monthly Viewing Forecast'!K27*'Title Inputs'!$F$33</f>
        <v>1973.18370517888</v>
      </c>
      <c r="L34" s="41" t="n">
        <f aca="false">'Monthly Viewing Forecast'!L27*'Title Inputs'!$F$33</f>
        <v>1681.15251681241</v>
      </c>
      <c r="M34" s="41" t="n">
        <f aca="false">'Monthly Viewing Forecast'!M27*'Title Inputs'!$F$33</f>
        <v>1432.34194432417</v>
      </c>
      <c r="N34" s="41" t="n">
        <f aca="false">'Monthly Viewing Forecast'!N27*'Title Inputs'!$F$33</f>
        <v>1220.3553365642</v>
      </c>
      <c r="O34" s="41" t="n">
        <f aca="false">'Monthly Viewing Forecast'!O27*'Title Inputs'!$F$33</f>
        <v>1039.74274675269</v>
      </c>
      <c r="P34" s="41" t="n">
        <f aca="false">'Monthly Viewing Forecast'!P27*'Title Inputs'!$F$33</f>
        <v>885.860820233296</v>
      </c>
      <c r="Q34" s="41" t="n">
        <f aca="false">'Monthly Viewing Forecast'!Q27*'Title Inputs'!$F$33</f>
        <v>754.753418838768</v>
      </c>
      <c r="R34" s="41" t="n">
        <f aca="false">'Monthly Viewing Forecast'!R27*'Title Inputs'!$F$33</f>
        <v>643.04991285063</v>
      </c>
      <c r="S34" s="41" t="n">
        <f aca="false">'Monthly Viewing Forecast'!S27*'Title Inputs'!$F$33</f>
        <v>547.878525748737</v>
      </c>
      <c r="T34" s="41" t="n">
        <f aca="false">'Monthly Viewing Forecast'!T27*'Title Inputs'!$F$33</f>
        <v>466.792503937924</v>
      </c>
      <c r="U34" s="41" t="n">
        <f aca="false">'Monthly Viewing Forecast'!U27*'Title Inputs'!$F$33</f>
        <v>397.707213355111</v>
      </c>
      <c r="V34" s="41" t="n">
        <f aca="false">'Monthly Viewing Forecast'!V27*'Title Inputs'!$F$33</f>
        <v>338.846545778555</v>
      </c>
      <c r="W34" s="41" t="n">
        <f aca="false">'Monthly Viewing Forecast'!W27*'Title Inputs'!$F$33</f>
        <v>288.697257003329</v>
      </c>
      <c r="X34" s="41" t="n">
        <f aca="false">'Monthly Viewing Forecast'!X27*'Title Inputs'!$F$33</f>
        <v>245.970062966836</v>
      </c>
      <c r="Y34" s="41" t="n">
        <f aca="false">'Monthly Viewing Forecast'!Y27*'Title Inputs'!$F$33</f>
        <v>209.566493647744</v>
      </c>
      <c r="Z34" s="41" t="n">
        <f aca="false">'Monthly Viewing Forecast'!Z27*'Title Inputs'!$F$33</f>
        <v>178.550652587878</v>
      </c>
      <c r="AA34" s="41" t="n">
        <f aca="false">'Monthly Viewing Forecast'!AA27*'Title Inputs'!$F$33</f>
        <v>152.125156004872</v>
      </c>
      <c r="AB34" s="41" t="n">
        <f aca="false">'Monthly Viewing Forecast'!AB27*'Title Inputs'!$F$33</f>
        <v>129.610632916151</v>
      </c>
    </row>
    <row r="35" customFormat="false" ht="15" hidden="false" customHeight="false" outlineLevel="0" collapsed="false">
      <c r="A35" s="14"/>
      <c r="B35" s="9"/>
      <c r="C35" s="8" t="s">
        <v>216</v>
      </c>
      <c r="D35" s="34" t="n">
        <f aca="false">SUM(E35:AB35)</f>
        <v>69881.156500021</v>
      </c>
      <c r="E35" s="34" t="n">
        <f aca="false">E30+E31-E32-E33-E34</f>
        <v>-56923.3436125248</v>
      </c>
      <c r="F35" s="34" t="n">
        <f aca="false">F30+F31-F32-F33-F34</f>
        <v>5515.47124212888</v>
      </c>
      <c r="G35" s="34" t="n">
        <f aca="false">G30+G31-G32-G33-G34</f>
        <v>11729.9814982938</v>
      </c>
      <c r="H35" s="34" t="n">
        <f aca="false">H30+H31-H32-H33-H34</f>
        <v>11675.2882365463</v>
      </c>
      <c r="I35" s="34" t="n">
        <f aca="false">I30+I31-I32-I33-I34</f>
        <v>15100.2415775375</v>
      </c>
      <c r="J35" s="34" t="n">
        <f aca="false">J30+J31-J32-J33-J34</f>
        <v>12865.4058240619</v>
      </c>
      <c r="K35" s="34" t="n">
        <f aca="false">K30+K31-K32-K33-K34</f>
        <v>10961.3257621008</v>
      </c>
      <c r="L35" s="34" t="n">
        <f aca="false">L30+L31-L32-L33-L34</f>
        <v>9339.04954930984</v>
      </c>
      <c r="M35" s="34" t="n">
        <f aca="false">M30+M31-M32-M33-M34</f>
        <v>7956.87021601199</v>
      </c>
      <c r="N35" s="34" t="n">
        <f aca="false">N30+N31-N32-N33-N34</f>
        <v>6779.25342404221</v>
      </c>
      <c r="O35" s="34" t="n">
        <f aca="false">O30+O31-O32-O33-O34</f>
        <v>5775.92391728397</v>
      </c>
      <c r="P35" s="34" t="n">
        <f aca="false">P30+P31-P32-P33-P34</f>
        <v>4921.08717752594</v>
      </c>
      <c r="Q35" s="34" t="n">
        <f aca="false">Q30+Q31-Q32-Q33-Q34</f>
        <v>4192.7662752521</v>
      </c>
      <c r="R35" s="34" t="n">
        <f aca="false">R30+R31-R32-R33-R34</f>
        <v>3572.23686651479</v>
      </c>
      <c r="S35" s="34" t="n">
        <f aca="false">S30+S31-S32-S33-S34</f>
        <v>3043.5458102706</v>
      </c>
      <c r="T35" s="34" t="n">
        <f aca="false">T30+T31-T32-T33-T34</f>
        <v>2593.10103035055</v>
      </c>
      <c r="U35" s="34" t="n">
        <f aca="false">U30+U31-U32-U33-U34</f>
        <v>2209.32207785867</v>
      </c>
      <c r="V35" s="34" t="n">
        <f aca="false">V30+V31-V32-V33-V34</f>
        <v>1882.34241033559</v>
      </c>
      <c r="W35" s="34" t="n">
        <f aca="false">W30+W31-W32-W33-W34</f>
        <v>1603.75573360592</v>
      </c>
      <c r="X35" s="34" t="n">
        <f aca="false">X30+X31-X32-X33-X34</f>
        <v>1366.39988503224</v>
      </c>
      <c r="Y35" s="34" t="n">
        <f aca="false">Y30+Y31-Y32-Y33-Y34</f>
        <v>1164.17270204747</v>
      </c>
      <c r="Z35" s="34" t="n">
        <f aca="false">Z30+Z31-Z32-Z33-Z34</f>
        <v>991.875142144446</v>
      </c>
      <c r="AA35" s="34" t="n">
        <f aca="false">AA30+AA31-AA32-AA33-AA34</f>
        <v>845.077621107067</v>
      </c>
      <c r="AB35" s="34" t="n">
        <f aca="false">AB30+AB31-AB32-AB33-AB34</f>
        <v>720.006133183221</v>
      </c>
    </row>
    <row r="37" customFormat="false" ht="15" hidden="false" customHeight="false" outlineLevel="0" collapsed="false">
      <c r="A37" s="14" t="s">
        <v>194</v>
      </c>
      <c r="B37" s="8" t="s">
        <v>126</v>
      </c>
      <c r="C37" s="9" t="s">
        <v>213</v>
      </c>
      <c r="D37" s="34" t="n">
        <f aca="false">SUM(E37:AB37)</f>
        <v>49975.6877480111</v>
      </c>
      <c r="E37" s="41" t="n">
        <f aca="false">'Monthly Viewing Forecast'!E35*Scenarios!$G$27</f>
        <v>8025.56811103105</v>
      </c>
      <c r="F37" s="41" t="n">
        <f aca="false">'Monthly Viewing Forecast'!F35*Scenarios!$G$27</f>
        <v>6757.52834948815</v>
      </c>
      <c r="G37" s="41" t="n">
        <f aca="false">'Monthly Viewing Forecast'!G35*Scenarios!$G$27</f>
        <v>5689.83887026902</v>
      </c>
      <c r="H37" s="41" t="n">
        <f aca="false">'Monthly Viewing Forecast'!H35*Scenarios!$G$27</f>
        <v>4790.84432876652</v>
      </c>
      <c r="I37" s="41" t="n">
        <f aca="false">'Monthly Viewing Forecast'!I35*Scenarios!$G$27</f>
        <v>4033.89092482141</v>
      </c>
      <c r="J37" s="41" t="n">
        <f aca="false">'Monthly Viewing Forecast'!J35*Scenarios!$G$27</f>
        <v>3396.53615869962</v>
      </c>
      <c r="K37" s="41" t="n">
        <f aca="false">'Monthly Viewing Forecast'!K35*Scenarios!$G$27</f>
        <v>2859.88344562508</v>
      </c>
      <c r="L37" s="41" t="n">
        <f aca="false">'Monthly Viewing Forecast'!L35*Scenarios!$G$27</f>
        <v>2408.02186121632</v>
      </c>
      <c r="M37" s="41" t="n">
        <f aca="false">'Monthly Viewing Forecast'!M35*Scenarios!$G$27</f>
        <v>2027.55440714414</v>
      </c>
      <c r="N37" s="41" t="n">
        <f aca="false">'Monthly Viewing Forecast'!N35*Scenarios!$G$27</f>
        <v>1707.20081081537</v>
      </c>
      <c r="O37" s="41" t="n">
        <f aca="false">'Monthly Viewing Forecast'!O35*Scenarios!$G$27</f>
        <v>1437.46308270654</v>
      </c>
      <c r="P37" s="41" t="n">
        <f aca="false">'Monthly Viewing Forecast'!P35*Scenarios!$G$27</f>
        <v>1210.34391563891</v>
      </c>
      <c r="Q37" s="41" t="n">
        <f aca="false">'Monthly Viewing Forecast'!Q35*Scenarios!$G$27</f>
        <v>1019.10957696796</v>
      </c>
      <c r="R37" s="41" t="n">
        <f aca="false">'Monthly Viewing Forecast'!R35*Scenarios!$G$27</f>
        <v>858.090263807021</v>
      </c>
      <c r="S37" s="41" t="n">
        <f aca="false">'Monthly Viewing Forecast'!S35*Scenarios!$G$27</f>
        <v>722.512002125512</v>
      </c>
      <c r="T37" s="41" t="n">
        <f aca="false">'Monthly Viewing Forecast'!T35*Scenarios!$G$27</f>
        <v>608.355105789681</v>
      </c>
      <c r="U37" s="41" t="n">
        <f aca="false">'Monthly Viewing Forecast'!U35*Scenarios!$G$27</f>
        <v>512.234999074911</v>
      </c>
      <c r="V37" s="41" t="n">
        <f aca="false">'Monthly Viewing Forecast'!V35*Scenarios!$G$27</f>
        <v>431.301869221075</v>
      </c>
      <c r="W37" s="41" t="n">
        <f aca="false">'Monthly Viewing Forecast'!W35*Scenarios!$G$27</f>
        <v>363.156173884145</v>
      </c>
      <c r="X37" s="41" t="n">
        <f aca="false">'Monthly Viewing Forecast'!X35*Scenarios!$G$27</f>
        <v>305.77749841045</v>
      </c>
      <c r="Y37" s="41" t="n">
        <f aca="false">'Monthly Viewing Forecast'!Y35*Scenarios!$G$27</f>
        <v>257.464653661599</v>
      </c>
      <c r="Z37" s="41" t="n">
        <f aca="false">'Monthly Viewing Forecast'!Z35*Scenarios!$G$27</f>
        <v>216.785238383067</v>
      </c>
      <c r="AA37" s="41" t="n">
        <f aca="false">'Monthly Viewing Forecast'!AA35*Scenarios!$G$27</f>
        <v>182.533170718542</v>
      </c>
      <c r="AB37" s="41" t="n">
        <f aca="false">'Monthly Viewing Forecast'!AB35*Scenarios!$G$27</f>
        <v>153.692929745012</v>
      </c>
    </row>
    <row r="38" customFormat="false" ht="15" hidden="false" customHeight="false" outlineLevel="0" collapsed="false">
      <c r="A38" s="14"/>
      <c r="B38" s="9"/>
      <c r="C38" s="9" t="s">
        <v>214</v>
      </c>
      <c r="D38" s="34" t="n">
        <f aca="false">SUM(E38:AB38)</f>
        <v>10896.4956715531</v>
      </c>
      <c r="E38" s="41" t="n">
        <f aca="false">'Monthly Viewing Forecast'!E33*Scenarios!$G$27*'Title Inputs'!$G$34</f>
        <v>1749.86222549953</v>
      </c>
      <c r="F38" s="41" t="n">
        <f aca="false">'Monthly Viewing Forecast'!F33*Scenarios!$G$27*'Title Inputs'!$G$34</f>
        <v>1473.38399387061</v>
      </c>
      <c r="G38" s="41" t="n">
        <f aca="false">'Monthly Viewing Forecast'!G33*Scenarios!$G$27*'Title Inputs'!$G$34</f>
        <v>1240.58932283905</v>
      </c>
      <c r="H38" s="41" t="n">
        <f aca="false">'Monthly Viewing Forecast'!H33*Scenarios!$G$27*'Title Inputs'!$G$34</f>
        <v>1044.57620983048</v>
      </c>
      <c r="I38" s="41" t="n">
        <f aca="false">'Monthly Viewing Forecast'!I33*Scenarios!$G$27*'Title Inputs'!$G$34</f>
        <v>879.533168677264</v>
      </c>
      <c r="J38" s="41" t="n">
        <f aca="false">'Monthly Viewing Forecast'!J33*Scenarios!$G$27*'Title Inputs'!$G$34</f>
        <v>740.566928026257</v>
      </c>
      <c r="K38" s="41" t="n">
        <f aca="false">'Monthly Viewing Forecast'!K33*Scenarios!$G$27*'Title Inputs'!$G$34</f>
        <v>623.557353398108</v>
      </c>
      <c r="L38" s="41" t="n">
        <f aca="false">'Monthly Viewing Forecast'!L33*Scenarios!$G$27*'Title Inputs'!$G$34</f>
        <v>525.035291561207</v>
      </c>
      <c r="M38" s="41" t="n">
        <f aca="false">'Monthly Viewing Forecast'!M33*Scenarios!$G$27*'Title Inputs'!$G$34</f>
        <v>442.079715494536</v>
      </c>
      <c r="N38" s="41" t="n">
        <f aca="false">'Monthly Viewing Forecast'!N33*Scenarios!$G$27*'Title Inputs'!$G$34</f>
        <v>372.231120446399</v>
      </c>
      <c r="O38" s="41" t="n">
        <f aca="false">'Monthly Viewing Forecast'!O33*Scenarios!$G$27*'Title Inputs'!$G$34</f>
        <v>313.418603415868</v>
      </c>
      <c r="P38" s="41" t="n">
        <f aca="false">'Monthly Viewing Forecast'!P33*Scenarios!$G$27*'Title Inputs'!$G$34</f>
        <v>263.898464076161</v>
      </c>
      <c r="Q38" s="41" t="n">
        <f aca="false">'Monthly Viewing Forecast'!Q33*Scenarios!$G$27*'Title Inputs'!$G$34</f>
        <v>222.202506752128</v>
      </c>
      <c r="R38" s="41" t="n">
        <f aca="false">'Monthly Viewing Forecast'!R33*Scenarios!$G$27*'Title Inputs'!$G$34</f>
        <v>187.094510685292</v>
      </c>
      <c r="S38" s="41" t="n">
        <f aca="false">'Monthly Viewing Forecast'!S33*Scenarios!$G$27*'Title Inputs'!$G$34</f>
        <v>157.533577997015</v>
      </c>
      <c r="T38" s="41" t="n">
        <f aca="false">'Monthly Viewing Forecast'!T33*Scenarios!$G$27*'Title Inputs'!$G$34</f>
        <v>132.643272673487</v>
      </c>
      <c r="U38" s="41" t="n">
        <f aca="false">'Monthly Viewing Forecast'!U33*Scenarios!$G$27*'Title Inputs'!$G$34</f>
        <v>111.685635591076</v>
      </c>
      <c r="V38" s="41" t="n">
        <f aca="false">'Monthly Viewing Forecast'!V33*Scenarios!$G$27*'Title Inputs'!$G$34</f>
        <v>94.039305167686</v>
      </c>
      <c r="W38" s="41" t="n">
        <f aca="false">'Monthly Viewing Forecast'!W33*Scenarios!$G$27*'Title Inputs'!$G$34</f>
        <v>79.1810949511916</v>
      </c>
      <c r="X38" s="41" t="n">
        <f aca="false">'Monthly Viewing Forecast'!X33*Scenarios!$G$27*'Title Inputs'!$G$34</f>
        <v>66.6704819489034</v>
      </c>
      <c r="Y38" s="41" t="n">
        <f aca="false">'Monthly Viewing Forecast'!Y33*Scenarios!$G$27*'Title Inputs'!$G$34</f>
        <v>56.1365458009766</v>
      </c>
      <c r="Z38" s="41" t="n">
        <f aca="false">'Monthly Viewing Forecast'!Z33*Scenarios!$G$27*'Title Inputs'!$G$34</f>
        <v>47.2669715644223</v>
      </c>
      <c r="AA38" s="41" t="n">
        <f aca="false">'Monthly Viewing Forecast'!AA33*Scenarios!$G$27*'Title Inputs'!$G$34</f>
        <v>39.7987900572436</v>
      </c>
      <c r="AB38" s="41" t="n">
        <f aca="false">'Monthly Viewing Forecast'!AB33*Scenarios!$G$27*'Title Inputs'!$G$34</f>
        <v>33.5105812281991</v>
      </c>
    </row>
    <row r="39" customFormat="false" ht="15" hidden="false" customHeight="false" outlineLevel="0" collapsed="false">
      <c r="A39" s="14"/>
      <c r="B39" s="9"/>
      <c r="C39" s="9" t="s">
        <v>170</v>
      </c>
      <c r="D39" s="34" t="n">
        <f aca="false">SUM(E39:AB39)</f>
        <v>60900</v>
      </c>
      <c r="E39" s="41" t="n">
        <f aca="false">Scenarios!$G$28*INDEX(Assumptions!$C$23:$C$26,E$4)</f>
        <v>33495</v>
      </c>
      <c r="F39" s="41" t="n">
        <f aca="false">Scenarios!$G$28*INDEX(Assumptions!$C$23:$C$26,F$4)</f>
        <v>15225</v>
      </c>
      <c r="G39" s="41" t="n">
        <f aca="false">Scenarios!$G$28*INDEX(Assumptions!$C$23:$C$26,G$4)</f>
        <v>7308</v>
      </c>
      <c r="H39" s="41" t="n">
        <f aca="false">Scenarios!$G$28*INDEX(Assumptions!$C$23:$C$26,H$4)</f>
        <v>4872</v>
      </c>
      <c r="I39" s="41" t="n">
        <f aca="false">0</f>
        <v>0</v>
      </c>
      <c r="J39" s="41" t="n">
        <f aca="false">0</f>
        <v>0</v>
      </c>
      <c r="K39" s="41" t="n">
        <f aca="false">0</f>
        <v>0</v>
      </c>
      <c r="L39" s="41" t="n">
        <f aca="false">0</f>
        <v>0</v>
      </c>
      <c r="M39" s="41" t="n">
        <f aca="false">0</f>
        <v>0</v>
      </c>
      <c r="N39" s="41" t="n">
        <f aca="false">0</f>
        <v>0</v>
      </c>
      <c r="O39" s="41" t="n">
        <f aca="false">0</f>
        <v>0</v>
      </c>
      <c r="P39" s="41" t="n">
        <f aca="false">0</f>
        <v>0</v>
      </c>
      <c r="Q39" s="41" t="n">
        <f aca="false">0</f>
        <v>0</v>
      </c>
      <c r="R39" s="41" t="n">
        <f aca="false">0</f>
        <v>0</v>
      </c>
      <c r="S39" s="41" t="n">
        <f aca="false">0</f>
        <v>0</v>
      </c>
      <c r="T39" s="41" t="n">
        <f aca="false">0</f>
        <v>0</v>
      </c>
      <c r="U39" s="41" t="n">
        <f aca="false">0</f>
        <v>0</v>
      </c>
      <c r="V39" s="41" t="n">
        <f aca="false">0</f>
        <v>0</v>
      </c>
      <c r="W39" s="41" t="n">
        <f aca="false">0</f>
        <v>0</v>
      </c>
      <c r="X39" s="41" t="n">
        <f aca="false">0</f>
        <v>0</v>
      </c>
      <c r="Y39" s="41" t="n">
        <f aca="false">0</f>
        <v>0</v>
      </c>
      <c r="Z39" s="41" t="n">
        <f aca="false">0</f>
        <v>0</v>
      </c>
      <c r="AA39" s="41" t="n">
        <f aca="false">0</f>
        <v>0</v>
      </c>
      <c r="AB39" s="41" t="n">
        <f aca="false">0</f>
        <v>0</v>
      </c>
    </row>
    <row r="40" customFormat="false" ht="15" hidden="false" customHeight="false" outlineLevel="0" collapsed="false">
      <c r="A40" s="14"/>
      <c r="B40" s="9"/>
      <c r="C40" s="9" t="s">
        <v>171</v>
      </c>
      <c r="D40" s="34" t="n">
        <f aca="false">SUM(E40:AB40)</f>
        <v>40000</v>
      </c>
      <c r="E40" s="41" t="n">
        <f aca="false">'Title Inputs'!$G$32</f>
        <v>40000</v>
      </c>
      <c r="F40" s="41" t="n">
        <f aca="false">0</f>
        <v>0</v>
      </c>
      <c r="G40" s="41" t="n">
        <f aca="false">0</f>
        <v>0</v>
      </c>
      <c r="H40" s="41" t="n">
        <f aca="false">0</f>
        <v>0</v>
      </c>
      <c r="I40" s="41" t="n">
        <f aca="false">0</f>
        <v>0</v>
      </c>
      <c r="J40" s="41" t="n">
        <f aca="false">0</f>
        <v>0</v>
      </c>
      <c r="K40" s="41" t="n">
        <f aca="false">0</f>
        <v>0</v>
      </c>
      <c r="L40" s="41" t="n">
        <f aca="false">0</f>
        <v>0</v>
      </c>
      <c r="M40" s="41" t="n">
        <f aca="false">0</f>
        <v>0</v>
      </c>
      <c r="N40" s="41" t="n">
        <f aca="false">0</f>
        <v>0</v>
      </c>
      <c r="O40" s="41" t="n">
        <f aca="false">0</f>
        <v>0</v>
      </c>
      <c r="P40" s="41" t="n">
        <f aca="false">0</f>
        <v>0</v>
      </c>
      <c r="Q40" s="41" t="n">
        <f aca="false">0</f>
        <v>0</v>
      </c>
      <c r="R40" s="41" t="n">
        <f aca="false">0</f>
        <v>0</v>
      </c>
      <c r="S40" s="41" t="n">
        <f aca="false">0</f>
        <v>0</v>
      </c>
      <c r="T40" s="41" t="n">
        <f aca="false">0</f>
        <v>0</v>
      </c>
      <c r="U40" s="41" t="n">
        <f aca="false">0</f>
        <v>0</v>
      </c>
      <c r="V40" s="41" t="n">
        <f aca="false">0</f>
        <v>0</v>
      </c>
      <c r="W40" s="41" t="n">
        <f aca="false">0</f>
        <v>0</v>
      </c>
      <c r="X40" s="41" t="n">
        <f aca="false">0</f>
        <v>0</v>
      </c>
      <c r="Y40" s="41" t="n">
        <f aca="false">0</f>
        <v>0</v>
      </c>
      <c r="Z40" s="41" t="n">
        <f aca="false">0</f>
        <v>0</v>
      </c>
      <c r="AA40" s="41" t="n">
        <f aca="false">0</f>
        <v>0</v>
      </c>
      <c r="AB40" s="41" t="n">
        <f aca="false">0</f>
        <v>0</v>
      </c>
    </row>
    <row r="41" customFormat="false" ht="15" hidden="false" customHeight="false" outlineLevel="0" collapsed="false">
      <c r="A41" s="14"/>
      <c r="B41" s="9"/>
      <c r="C41" s="9" t="s">
        <v>215</v>
      </c>
      <c r="D41" s="34" t="n">
        <f aca="false">SUM(E41:AB41)</f>
        <v>11857.5840641185</v>
      </c>
      <c r="E41" s="41" t="n">
        <f aca="false">'Monthly Viewing Forecast'!E33*'Title Inputs'!$G$33</f>
        <v>1904.20287998231</v>
      </c>
      <c r="F41" s="41" t="n">
        <f aca="false">'Monthly Viewing Forecast'!F33*'Title Inputs'!$G$33</f>
        <v>1603.3388249451</v>
      </c>
      <c r="G41" s="41" t="n">
        <f aca="false">'Monthly Viewing Forecast'!G33*'Title Inputs'!$G$33</f>
        <v>1350.01129060378</v>
      </c>
      <c r="H41" s="41" t="n">
        <f aca="false">'Monthly Viewing Forecast'!H33*'Title Inputs'!$G$33</f>
        <v>1136.70950668838</v>
      </c>
      <c r="I41" s="41" t="n">
        <f aca="false">'Monthly Viewing Forecast'!I33*'Title Inputs'!$G$33</f>
        <v>957.109404631616</v>
      </c>
      <c r="J41" s="41" t="n">
        <f aca="false">'Monthly Viewing Forecast'!J33*'Title Inputs'!$G$33</f>
        <v>805.886118699821</v>
      </c>
      <c r="K41" s="41" t="n">
        <f aca="false">'Monthly Viewing Forecast'!K33*'Title Inputs'!$G$33</f>
        <v>678.556111945249</v>
      </c>
      <c r="L41" s="41" t="n">
        <f aca="false">'Monthly Viewing Forecast'!L33*'Title Inputs'!$G$33</f>
        <v>571.3442462579</v>
      </c>
      <c r="M41" s="41" t="n">
        <f aca="false">'Monthly Viewing Forecast'!M33*'Title Inputs'!$G$33</f>
        <v>481.071855349152</v>
      </c>
      <c r="N41" s="41" t="n">
        <f aca="false">'Monthly Viewing Forecast'!N33*'Title Inputs'!$G$33</f>
        <v>405.062502203986</v>
      </c>
      <c r="O41" s="41" t="n">
        <f aca="false">'Monthly Viewing Forecast'!O33*'Title Inputs'!$G$33</f>
        <v>341.062626855756</v>
      </c>
      <c r="P41" s="41" t="n">
        <f aca="false">'Monthly Viewing Forecast'!P33*'Title Inputs'!$G$33</f>
        <v>287.174731812547</v>
      </c>
      <c r="Q41" s="41" t="n">
        <f aca="false">'Monthly Viewing Forecast'!Q33*'Title Inputs'!$G$33</f>
        <v>241.801124186164</v>
      </c>
      <c r="R41" s="41" t="n">
        <f aca="false">'Monthly Viewing Forecast'!R33*'Title Inputs'!$G$33</f>
        <v>203.59654656475</v>
      </c>
      <c r="S41" s="41" t="n">
        <f aca="false">'Monthly Viewing Forecast'!S33*'Title Inputs'!$G$33</f>
        <v>171.42829220752</v>
      </c>
      <c r="T41" s="41" t="n">
        <f aca="false">'Monthly Viewing Forecast'!T33*'Title Inputs'!$G$33</f>
        <v>144.342622038732</v>
      </c>
      <c r="U41" s="41" t="n">
        <f aca="false">'Monthly Viewing Forecast'!U33*'Title Inputs'!$G$33</f>
        <v>121.536487756612</v>
      </c>
      <c r="V41" s="41" t="n">
        <f aca="false">'Monthly Viewing Forecast'!V33*'Title Inputs'!$G$33</f>
        <v>102.333722691067</v>
      </c>
      <c r="W41" s="41" t="n">
        <f aca="false">'Monthly Viewing Forecast'!W33*'Title Inputs'!$G$33</f>
        <v>86.1649945058787</v>
      </c>
      <c r="X41" s="41" t="n">
        <f aca="false">'Monthly Viewing Forecast'!X33*'Title Inputs'!$G$33</f>
        <v>72.5509253739498</v>
      </c>
      <c r="Y41" s="41" t="n">
        <f aca="false">'Monthly Viewing Forecast'!Y33*'Title Inputs'!$G$33</f>
        <v>61.0878791648657</v>
      </c>
      <c r="Z41" s="41" t="n">
        <f aca="false">'Monthly Viewing Forecast'!Z33*'Title Inputs'!$G$33</f>
        <v>51.435994256817</v>
      </c>
      <c r="AA41" s="41" t="n">
        <f aca="false">'Monthly Viewing Forecast'!AA33*'Title Inputs'!$G$33</f>
        <v>43.3091071642399</v>
      </c>
      <c r="AB41" s="41" t="n">
        <f aca="false">'Monthly Viewing Forecast'!AB33*'Title Inputs'!$G$33</f>
        <v>36.46626823229</v>
      </c>
    </row>
    <row r="42" customFormat="false" ht="15" hidden="false" customHeight="false" outlineLevel="0" collapsed="false">
      <c r="A42" s="14"/>
      <c r="B42" s="9"/>
      <c r="C42" s="8" t="s">
        <v>216</v>
      </c>
      <c r="D42" s="34" t="n">
        <f aca="false">SUM(E42:AB42)</f>
        <v>-51885.4006445543</v>
      </c>
      <c r="E42" s="34" t="n">
        <f aca="false">E37+E38-E39-E40-E41</f>
        <v>-65623.7725434517</v>
      </c>
      <c r="F42" s="34" t="n">
        <f aca="false">F37+F38-F39-F40-F41</f>
        <v>-8597.42648158635</v>
      </c>
      <c r="G42" s="34" t="n">
        <f aca="false">G37+G38-G39-G40-G41</f>
        <v>-1727.58309749571</v>
      </c>
      <c r="H42" s="34" t="n">
        <f aca="false">H37+H38-H39-H40-H41</f>
        <v>-173.288968091385</v>
      </c>
      <c r="I42" s="34" t="n">
        <f aca="false">I37+I38-I39-I40-I41</f>
        <v>3956.31468886705</v>
      </c>
      <c r="J42" s="34" t="n">
        <f aca="false">J37+J38-J39-J40-J41</f>
        <v>3331.21696802606</v>
      </c>
      <c r="K42" s="34" t="n">
        <f aca="false">K37+K38-K39-K40-K41</f>
        <v>2804.88468707794</v>
      </c>
      <c r="L42" s="34" t="n">
        <f aca="false">L37+L38-L39-L40-L41</f>
        <v>2361.71290651963</v>
      </c>
      <c r="M42" s="34" t="n">
        <f aca="false">M37+M38-M39-M40-M41</f>
        <v>1988.56226728953</v>
      </c>
      <c r="N42" s="34" t="n">
        <f aca="false">N37+N38-N39-N40-N41</f>
        <v>1674.36942905778</v>
      </c>
      <c r="O42" s="34" t="n">
        <f aca="false">O37+O38-O39-O40-O41</f>
        <v>1409.81905926665</v>
      </c>
      <c r="P42" s="34" t="n">
        <f aca="false">P37+P38-P39-P40-P41</f>
        <v>1187.06764790252</v>
      </c>
      <c r="Q42" s="34" t="n">
        <f aca="false">Q37+Q38-Q39-Q40-Q41</f>
        <v>999.510959533922</v>
      </c>
      <c r="R42" s="34" t="n">
        <f aca="false">R37+R38-R39-R40-R41</f>
        <v>841.588227927562</v>
      </c>
      <c r="S42" s="34" t="n">
        <f aca="false">S37+S38-S39-S40-S41</f>
        <v>708.617287915007</v>
      </c>
      <c r="T42" s="34" t="n">
        <f aca="false">T37+T38-T39-T40-T41</f>
        <v>596.655756424436</v>
      </c>
      <c r="U42" s="34" t="n">
        <f aca="false">U37+U38-U39-U40-U41</f>
        <v>502.384146909375</v>
      </c>
      <c r="V42" s="34" t="n">
        <f aca="false">V37+V38-V39-V40-V41</f>
        <v>423.007451697694</v>
      </c>
      <c r="W42" s="34" t="n">
        <f aca="false">W37+W38-W39-W40-W41</f>
        <v>356.172274329458</v>
      </c>
      <c r="X42" s="34" t="n">
        <f aca="false">X37+X38-X39-X40-X41</f>
        <v>299.897054985404</v>
      </c>
      <c r="Y42" s="34" t="n">
        <f aca="false">Y37+Y38-Y39-Y40-Y41</f>
        <v>252.51332029771</v>
      </c>
      <c r="Z42" s="34" t="n">
        <f aca="false">Z37+Z38-Z39-Z40-Z41</f>
        <v>212.616215690672</v>
      </c>
      <c r="AA42" s="34" t="n">
        <f aca="false">AA37+AA38-AA39-AA40-AA41</f>
        <v>179.022853611546</v>
      </c>
      <c r="AB42" s="34" t="n">
        <f aca="false">AB37+AB38-AB39-AB40-AB41</f>
        <v>150.737242740921</v>
      </c>
    </row>
    <row r="44" customFormat="false" ht="15" hidden="false" customHeight="false" outlineLevel="0" collapsed="false">
      <c r="B44" s="42" t="s">
        <v>200</v>
      </c>
      <c r="C44" s="43" t="s">
        <v>217</v>
      </c>
      <c r="D44" s="34" t="n">
        <f aca="false">$D$9+$D$16+$D$23+$D$30+$D$37</f>
        <v>2301203.13161924</v>
      </c>
      <c r="E44" s="34" t="n">
        <f aca="false">E9+E16+E23+E30+E37</f>
        <v>309210.733987081</v>
      </c>
      <c r="F44" s="34" t="n">
        <f aca="false">F9+F16+F23+F30+F37</f>
        <v>269019.213784258</v>
      </c>
      <c r="G44" s="34" t="n">
        <f aca="false">G9+G16+G23+G30+G37</f>
        <v>234076.045640116</v>
      </c>
      <c r="H44" s="34" t="n">
        <f aca="false">H9+H16+H23+H30+H37</f>
        <v>203692.438397646</v>
      </c>
      <c r="I44" s="34" t="n">
        <f aca="false">I9+I16+I23+I30+I37</f>
        <v>177270.487090358</v>
      </c>
      <c r="J44" s="34" t="n">
        <f aca="false">J9+J16+J23+J30+J37</f>
        <v>154291.110861817</v>
      </c>
      <c r="K44" s="34" t="n">
        <f aca="false">K9+K16+K23+K30+K37</f>
        <v>134303.601616376</v>
      </c>
      <c r="L44" s="34" t="n">
        <f aca="false">L9+L16+L23+L30+L37</f>
        <v>116916.566903789</v>
      </c>
      <c r="M44" s="34" t="n">
        <f aca="false">M9+M16+M23+M30+M37</f>
        <v>101790.079839025</v>
      </c>
      <c r="N44" s="34" t="n">
        <f aca="false">N9+N16+N23+N30+N37</f>
        <v>88628.8741639797</v>
      </c>
      <c r="O44" s="34" t="n">
        <f aca="false">O9+O16+O23+O30+O37</f>
        <v>77176.444418195</v>
      </c>
      <c r="P44" s="34" t="n">
        <f aca="false">P9+P16+P23+P30+P37</f>
        <v>67209.9300735688</v>
      </c>
      <c r="Q44" s="34" t="n">
        <f aca="false">Q9+Q16+Q23+Q30+Q37</f>
        <v>58535.6788104517</v>
      </c>
      <c r="R44" s="34" t="n">
        <f aca="false">R9+R16+R23+R30+R37</f>
        <v>50985.3982205027</v>
      </c>
      <c r="S44" s="34" t="n">
        <f aca="false">S9+S16+S23+S30+S37</f>
        <v>44412.8174177822</v>
      </c>
      <c r="T44" s="34" t="n">
        <f aca="false">T9+T16+T23+T30+T37</f>
        <v>38690.7905847417</v>
      </c>
      <c r="U44" s="34" t="n">
        <f aca="false">U9+U16+U23+U30+U37</f>
        <v>33708.7835990951</v>
      </c>
      <c r="V44" s="34" t="n">
        <f aca="false">V9+V16+V23+V30+V37</f>
        <v>29370.6927751842</v>
      </c>
      <c r="W44" s="34" t="n">
        <f aca="false">W9+W16+W23+W30+W37</f>
        <v>25592.9515769018</v>
      </c>
      <c r="X44" s="34" t="n">
        <f aca="false">X9+X16+X23+X30+X37</f>
        <v>22302.887063098</v>
      </c>
      <c r="Y44" s="34" t="n">
        <f aca="false">Y9+Y16+Y23+Y30+Y37</f>
        <v>19437.2929354479</v>
      </c>
      <c r="Z44" s="34" t="n">
        <f aca="false">Z9+Z16+Z23+Z30+Z37</f>
        <v>16941.1904807516</v>
      </c>
      <c r="AA44" s="34" t="n">
        <f aca="false">AA9+AA16+AA23+AA30+AA37</f>
        <v>14766.7525275866</v>
      </c>
      <c r="AB44" s="34" t="n">
        <f aca="false">AB9+AB16+AB23+AB30+AB37</f>
        <v>12872.3688514882</v>
      </c>
    </row>
    <row r="45" customFormat="false" ht="15" hidden="false" customHeight="false" outlineLevel="0" collapsed="false">
      <c r="B45" s="42" t="s">
        <v>200</v>
      </c>
      <c r="C45" s="43" t="s">
        <v>218</v>
      </c>
      <c r="D45" s="34" t="n">
        <f aca="false">$D$10+$D$17+$D$24+$D$31+$D$38</f>
        <v>359936.511980485</v>
      </c>
      <c r="E45" s="34" t="n">
        <f aca="false">E10+E17+E24+E31+E38</f>
        <v>48682.6323914554</v>
      </c>
      <c r="F45" s="34" t="n">
        <f aca="false">F10+F17+F24+F31+F38</f>
        <v>42303.6542945625</v>
      </c>
      <c r="G45" s="34" t="n">
        <f aca="false">G10+G17+G24+G31+G38</f>
        <v>36764.9597366219</v>
      </c>
      <c r="H45" s="34" t="n">
        <f aca="false">H10+H17+H24+H31+H38</f>
        <v>31955.230099909</v>
      </c>
      <c r="I45" s="34" t="n">
        <f aca="false">I10+I17+I24+I31+I38</f>
        <v>27777.9836275178</v>
      </c>
      <c r="J45" s="34" t="n">
        <f aca="false">J10+J17+J24+J31+J38</f>
        <v>24149.5851880791</v>
      </c>
      <c r="K45" s="34" t="n">
        <f aca="false">K10+K17+K24+K31+K38</f>
        <v>20997.5248203368</v>
      </c>
      <c r="L45" s="34" t="n">
        <f aca="false">L10+L17+L24+L31+L38</f>
        <v>18258.9285030379</v>
      </c>
      <c r="M45" s="34" t="n">
        <f aca="false">M10+M17+M24+M31+M38</f>
        <v>15879.2696032749</v>
      </c>
      <c r="N45" s="34" t="n">
        <f aca="false">N10+N17+N24+N31+N38</f>
        <v>13811.253772982</v>
      </c>
      <c r="O45" s="34" t="n">
        <f aca="false">O10+O17+O24+O31+O38</f>
        <v>12013.853784832</v>
      </c>
      <c r="P45" s="34" t="n">
        <f aca="false">P10+P17+P24+P31+P38</f>
        <v>10451.4740079428</v>
      </c>
      <c r="Q45" s="34" t="n">
        <f aca="false">Q10+Q17+Q24+Q31+Q38</f>
        <v>9093.22699165926</v>
      </c>
      <c r="R45" s="34" t="n">
        <f aca="false">R10+R17+R24+R31+R38</f>
        <v>7912.3070133707</v>
      </c>
      <c r="S45" s="34" t="n">
        <f aca="false">S10+S17+S24+S31+S38</f>
        <v>6885.44750644925</v>
      </c>
      <c r="T45" s="34" t="n">
        <f aca="false">T10+T17+T24+T31+T38</f>
        <v>5992.45106224247</v>
      </c>
      <c r="U45" s="34" t="n">
        <f aca="false">U10+U17+U24+U31+U38</f>
        <v>5215.78223457206</v>
      </c>
      <c r="V45" s="34" t="n">
        <f aca="false">V10+V17+V24+V31+V38</f>
        <v>4540.21469994191</v>
      </c>
      <c r="W45" s="34" t="n">
        <f aca="false">W10+W17+W24+W31+W38</f>
        <v>3952.52547052269</v>
      </c>
      <c r="X45" s="34" t="n">
        <f aca="false">X10+X17+X24+X31+X38</f>
        <v>3441.22984484121</v>
      </c>
      <c r="Y45" s="34" t="n">
        <f aca="false">Y10+Y17+Y24+Y31+Y38</f>
        <v>2996.35163439027</v>
      </c>
      <c r="Z45" s="34" t="n">
        <f aca="false">Z10+Z17+Z24+Z31+Z38</f>
        <v>2609.2239415563</v>
      </c>
      <c r="AA45" s="34" t="n">
        <f aca="false">AA10+AA17+AA24+AA31+AA38</f>
        <v>2272.31640125013</v>
      </c>
      <c r="AB45" s="34" t="n">
        <f aca="false">AB10+AB17+AB24+AB31+AB38</f>
        <v>1979.08534913684</v>
      </c>
    </row>
    <row r="46" customFormat="false" ht="15" hidden="false" customHeight="false" outlineLevel="0" collapsed="false">
      <c r="B46" s="42" t="s">
        <v>200</v>
      </c>
      <c r="C46" s="43" t="s">
        <v>219</v>
      </c>
      <c r="D46" s="34" t="n">
        <f aca="false">$D$11+$D$18+$D$25+$D$32+$D$39</f>
        <v>551250</v>
      </c>
      <c r="E46" s="34" t="n">
        <f aca="false">E11+E18+E25+E32+E39</f>
        <v>303187.5</v>
      </c>
      <c r="F46" s="34" t="n">
        <f aca="false">F11+F18+F25+F32+F39</f>
        <v>137812.5</v>
      </c>
      <c r="G46" s="34" t="n">
        <f aca="false">G11+G18+G25+G32+G39</f>
        <v>66150</v>
      </c>
      <c r="H46" s="34" t="n">
        <f aca="false">H11+H18+H25+H32+H39</f>
        <v>44100</v>
      </c>
      <c r="I46" s="34" t="n">
        <f aca="false">I11+I18+I25+I32+I39</f>
        <v>0</v>
      </c>
      <c r="J46" s="34" t="n">
        <f aca="false">J11+J18+J25+J32+J39</f>
        <v>0</v>
      </c>
      <c r="K46" s="34" t="n">
        <f aca="false">K11+K18+K25+K32+K39</f>
        <v>0</v>
      </c>
      <c r="L46" s="34" t="n">
        <f aca="false">L11+L18+L25+L32+L39</f>
        <v>0</v>
      </c>
      <c r="M46" s="34" t="n">
        <f aca="false">M11+M18+M25+M32+M39</f>
        <v>0</v>
      </c>
      <c r="N46" s="34" t="n">
        <f aca="false">N11+N18+N25+N32+N39</f>
        <v>0</v>
      </c>
      <c r="O46" s="34" t="n">
        <f aca="false">O11+O18+O25+O32+O39</f>
        <v>0</v>
      </c>
      <c r="P46" s="34" t="n">
        <f aca="false">P11+P18+P25+P32+P39</f>
        <v>0</v>
      </c>
      <c r="Q46" s="34" t="n">
        <f aca="false">Q11+Q18+Q25+Q32+Q39</f>
        <v>0</v>
      </c>
      <c r="R46" s="34" t="n">
        <f aca="false">R11+R18+R25+R32+R39</f>
        <v>0</v>
      </c>
      <c r="S46" s="34" t="n">
        <f aca="false">S11+S18+S25+S32+S39</f>
        <v>0</v>
      </c>
      <c r="T46" s="34" t="n">
        <f aca="false">T11+T18+T25+T32+T39</f>
        <v>0</v>
      </c>
      <c r="U46" s="34" t="n">
        <f aca="false">U11+U18+U25+U32+U39</f>
        <v>0</v>
      </c>
      <c r="V46" s="34" t="n">
        <f aca="false">V11+V18+V25+V32+V39</f>
        <v>0</v>
      </c>
      <c r="W46" s="34" t="n">
        <f aca="false">W11+W18+W25+W32+W39</f>
        <v>0</v>
      </c>
      <c r="X46" s="34" t="n">
        <f aca="false">X11+X18+X25+X32+X39</f>
        <v>0</v>
      </c>
      <c r="Y46" s="34" t="n">
        <f aca="false">Y11+Y18+Y25+Y32+Y39</f>
        <v>0</v>
      </c>
      <c r="Z46" s="34" t="n">
        <f aca="false">Z11+Z18+Z25+Z32+Z39</f>
        <v>0</v>
      </c>
      <c r="AA46" s="34" t="n">
        <f aca="false">AA11+AA18+AA25+AA32+AA39</f>
        <v>0</v>
      </c>
      <c r="AB46" s="34" t="n">
        <f aca="false">AB11+AB18+AB25+AB32+AB39</f>
        <v>0</v>
      </c>
    </row>
    <row r="47" customFormat="false" ht="15" hidden="false" customHeight="false" outlineLevel="0" collapsed="false">
      <c r="B47" s="42" t="s">
        <v>200</v>
      </c>
      <c r="C47" s="43" t="s">
        <v>220</v>
      </c>
      <c r="D47" s="34" t="n">
        <f aca="false">$D$12+$D$19+$D$26+$D$33+$D$40</f>
        <v>240000</v>
      </c>
      <c r="E47" s="34" t="n">
        <f aca="false">E12+E19+E26+E33+E40</f>
        <v>240000</v>
      </c>
      <c r="F47" s="34" t="n">
        <f aca="false">F12+F19+F26+F33+F40</f>
        <v>0</v>
      </c>
      <c r="G47" s="34" t="n">
        <f aca="false">G12+G19+G26+G33+G40</f>
        <v>0</v>
      </c>
      <c r="H47" s="34" t="n">
        <f aca="false">H12+H19+H26+H33+H40</f>
        <v>0</v>
      </c>
      <c r="I47" s="34" t="n">
        <f aca="false">I12+I19+I26+I33+I40</f>
        <v>0</v>
      </c>
      <c r="J47" s="34" t="n">
        <f aca="false">J12+J19+J26+J33+J40</f>
        <v>0</v>
      </c>
      <c r="K47" s="34" t="n">
        <f aca="false">K12+K19+K26+K33+K40</f>
        <v>0</v>
      </c>
      <c r="L47" s="34" t="n">
        <f aca="false">L12+L19+L26+L33+L40</f>
        <v>0</v>
      </c>
      <c r="M47" s="34" t="n">
        <f aca="false">M12+M19+M26+M33+M40</f>
        <v>0</v>
      </c>
      <c r="N47" s="34" t="n">
        <f aca="false">N12+N19+N26+N33+N40</f>
        <v>0</v>
      </c>
      <c r="O47" s="34" t="n">
        <f aca="false">O12+O19+O26+O33+O40</f>
        <v>0</v>
      </c>
      <c r="P47" s="34" t="n">
        <f aca="false">P12+P19+P26+P33+P40</f>
        <v>0</v>
      </c>
      <c r="Q47" s="34" t="n">
        <f aca="false">Q12+Q19+Q26+Q33+Q40</f>
        <v>0</v>
      </c>
      <c r="R47" s="34" t="n">
        <f aca="false">R12+R19+R26+R33+R40</f>
        <v>0</v>
      </c>
      <c r="S47" s="34" t="n">
        <f aca="false">S12+S19+S26+S33+S40</f>
        <v>0</v>
      </c>
      <c r="T47" s="34" t="n">
        <f aca="false">T12+T19+T26+T33+T40</f>
        <v>0</v>
      </c>
      <c r="U47" s="34" t="n">
        <f aca="false">U12+U19+U26+U33+U40</f>
        <v>0</v>
      </c>
      <c r="V47" s="34" t="n">
        <f aca="false">V12+V19+V26+V33+V40</f>
        <v>0</v>
      </c>
      <c r="W47" s="34" t="n">
        <f aca="false">W12+W19+W26+W33+W40</f>
        <v>0</v>
      </c>
      <c r="X47" s="34" t="n">
        <f aca="false">X12+X19+X26+X33+X40</f>
        <v>0</v>
      </c>
      <c r="Y47" s="34" t="n">
        <f aca="false">Y12+Y19+Y26+Y33+Y40</f>
        <v>0</v>
      </c>
      <c r="Z47" s="34" t="n">
        <f aca="false">Z12+Z19+Z26+Z33+Z40</f>
        <v>0</v>
      </c>
      <c r="AA47" s="34" t="n">
        <f aca="false">AA12+AA19+AA26+AA33+AA40</f>
        <v>0</v>
      </c>
      <c r="AB47" s="34" t="n">
        <f aca="false">AB12+AB19+AB26+AB33+AB40</f>
        <v>0</v>
      </c>
    </row>
    <row r="48" customFormat="false" ht="15" hidden="false" customHeight="false" outlineLevel="0" collapsed="false">
      <c r="B48" s="42" t="s">
        <v>200</v>
      </c>
      <c r="C48" s="43" t="s">
        <v>221</v>
      </c>
      <c r="D48" s="34" t="n">
        <f aca="false">$D$13+$D$20+$D$27+$D$34+$D$41</f>
        <v>276067.372928413</v>
      </c>
      <c r="E48" s="34" t="n">
        <f aca="false">E13+E20+E27+E34+E41</f>
        <v>37596.7983098334</v>
      </c>
      <c r="F48" s="34" t="n">
        <f aca="false">F13+F20+F27+F34+F41</f>
        <v>32628.6981187056</v>
      </c>
      <c r="G48" s="34" t="n">
        <f aca="false">G13+G20+G27+G34+G41</f>
        <v>28321.0348493666</v>
      </c>
      <c r="H48" s="34" t="n">
        <f aca="false">H13+H20+H27+H34+H41</f>
        <v>24585.4516490744</v>
      </c>
      <c r="I48" s="34" t="n">
        <f aca="false">I13+I20+I27+I34+I41</f>
        <v>21345.4923208555</v>
      </c>
      <c r="J48" s="34" t="n">
        <f aca="false">J13+J20+J27+J34+J41</f>
        <v>18534.9871165124</v>
      </c>
      <c r="K48" s="34" t="n">
        <f aca="false">K13+K20+K27+K34+K41</f>
        <v>16096.6590851447</v>
      </c>
      <c r="L48" s="34" t="n">
        <f aca="false">L13+L20+L27+L34+L41</f>
        <v>13980.9206150869</v>
      </c>
      <c r="M48" s="34" t="n">
        <f aca="false">M13+M20+M27+M34+M41</f>
        <v>12144.8340188333</v>
      </c>
      <c r="N48" s="34" t="n">
        <f aca="false">N13+N20+N27+N34+N41</f>
        <v>10551.2136334732</v>
      </c>
      <c r="O48" s="34" t="n">
        <f aca="false">O13+O20+O27+O34+O41</f>
        <v>9167.85002631839</v>
      </c>
      <c r="P48" s="34" t="n">
        <f aca="false">P13+P20+P27+P34+P41</f>
        <v>7966.83957792995</v>
      </c>
      <c r="Q48" s="34" t="n">
        <f aca="false">Q13+Q20+Q27+Q34+Q41</f>
        <v>6924.00502370177</v>
      </c>
      <c r="R48" s="34" t="n">
        <f aca="false">R13+R20+R27+R34+R41</f>
        <v>6018.39452296552</v>
      </c>
      <c r="S48" s="34" t="n">
        <f aca="false">S13+S20+S27+S34+S41</f>
        <v>5231.84853624868</v>
      </c>
      <c r="T48" s="34" t="n">
        <f aca="false">T13+T20+T27+T34+T41</f>
        <v>4548.6252655033</v>
      </c>
      <c r="U48" s="34" t="n">
        <f aca="false">U13+U20+U27+U34+U41</f>
        <v>3955.07668202789</v>
      </c>
      <c r="V48" s="34" t="n">
        <f aca="false">V13+V20+V27+V34+V41</f>
        <v>3439.36826095283</v>
      </c>
      <c r="W48" s="34" t="n">
        <f aca="false">W13+W20+W27+W34+W41</f>
        <v>2991.23648406284</v>
      </c>
      <c r="X48" s="34" t="n">
        <f aca="false">X13+X20+X27+X34+X41</f>
        <v>2601.77898545504</v>
      </c>
      <c r="Y48" s="34" t="n">
        <f aca="false">Y13+Y20+Y27+Y34+Y41</f>
        <v>2263.27291518678</v>
      </c>
      <c r="Z48" s="34" t="n">
        <f aca="false">Z13+Z20+Z27+Z34+Z41</f>
        <v>1969.01770022639</v>
      </c>
      <c r="AA48" s="34" t="n">
        <f aca="false">AA13+AA20+AA27+AA34+AA41</f>
        <v>1713.19890307277</v>
      </c>
      <c r="AB48" s="34" t="n">
        <f aca="false">AB13+AB20+AB27+AB34+AB41</f>
        <v>1490.77032787433</v>
      </c>
    </row>
    <row r="49" customFormat="false" ht="15" hidden="false" customHeight="false" outlineLevel="0" collapsed="false">
      <c r="B49" s="42" t="s">
        <v>200</v>
      </c>
      <c r="C49" s="42" t="s">
        <v>222</v>
      </c>
      <c r="D49" s="34" t="n">
        <f aca="false">SUM(E49:AB49)</f>
        <v>2661139.64359973</v>
      </c>
      <c r="E49" s="34" t="n">
        <f aca="false">E44+E45</f>
        <v>357893.366378537</v>
      </c>
      <c r="F49" s="34" t="n">
        <f aca="false">F44+F45</f>
        <v>311322.86807882</v>
      </c>
      <c r="G49" s="34" t="n">
        <f aca="false">G44+G45</f>
        <v>270841.005376738</v>
      </c>
      <c r="H49" s="34" t="n">
        <f aca="false">H44+H45</f>
        <v>235647.668497555</v>
      </c>
      <c r="I49" s="34" t="n">
        <f aca="false">I44+I45</f>
        <v>205048.470717876</v>
      </c>
      <c r="J49" s="34" t="n">
        <f aca="false">J44+J45</f>
        <v>178440.696049896</v>
      </c>
      <c r="K49" s="34" t="n">
        <f aca="false">K44+K45</f>
        <v>155301.126436713</v>
      </c>
      <c r="L49" s="34" t="n">
        <f aca="false">L44+L45</f>
        <v>135175.495406826</v>
      </c>
      <c r="M49" s="34" t="n">
        <f aca="false">M44+M45</f>
        <v>117669.3494423</v>
      </c>
      <c r="N49" s="34" t="n">
        <f aca="false">N44+N45</f>
        <v>102440.127936962</v>
      </c>
      <c r="O49" s="34" t="n">
        <f aca="false">O44+O45</f>
        <v>89190.2982030271</v>
      </c>
      <c r="P49" s="34" t="n">
        <f aca="false">P44+P45</f>
        <v>77661.4040815116</v>
      </c>
      <c r="Q49" s="34" t="n">
        <f aca="false">Q44+Q45</f>
        <v>67628.9058021109</v>
      </c>
      <c r="R49" s="34" t="n">
        <f aca="false">R44+R45</f>
        <v>58897.7052338734</v>
      </c>
      <c r="S49" s="34" t="n">
        <f aca="false">S44+S45</f>
        <v>51298.2649242315</v>
      </c>
      <c r="T49" s="34" t="n">
        <f aca="false">T44+T45</f>
        <v>44683.2416469841</v>
      </c>
      <c r="U49" s="34" t="n">
        <f aca="false">U44+U45</f>
        <v>38924.5658336671</v>
      </c>
      <c r="V49" s="34" t="n">
        <f aca="false">V44+V45</f>
        <v>33910.9074751261</v>
      </c>
      <c r="W49" s="34" t="n">
        <f aca="false">W44+W45</f>
        <v>29545.4770474245</v>
      </c>
      <c r="X49" s="34" t="n">
        <f aca="false">X44+X45</f>
        <v>25744.1169079392</v>
      </c>
      <c r="Y49" s="34" t="n">
        <f aca="false">Y44+Y45</f>
        <v>22433.6445698381</v>
      </c>
      <c r="Z49" s="34" t="n">
        <f aca="false">Z44+Z45</f>
        <v>19550.414422308</v>
      </c>
      <c r="AA49" s="34" t="n">
        <f aca="false">AA44+AA45</f>
        <v>17039.0689288368</v>
      </c>
      <c r="AB49" s="34" t="n">
        <f aca="false">AB44+AB45</f>
        <v>14851.454200625</v>
      </c>
    </row>
    <row r="50" customFormat="false" ht="15" hidden="false" customHeight="false" outlineLevel="0" collapsed="false">
      <c r="B50" s="42" t="s">
        <v>200</v>
      </c>
      <c r="C50" s="42" t="s">
        <v>223</v>
      </c>
      <c r="D50" s="34" t="n">
        <f aca="false">SUM(E50:AB50)</f>
        <v>1067317.37292841</v>
      </c>
      <c r="E50" s="34" t="n">
        <f aca="false">E46+E47+E48</f>
        <v>580784.298309833</v>
      </c>
      <c r="F50" s="34" t="n">
        <f aca="false">F46+F47+F48</f>
        <v>170441.198118706</v>
      </c>
      <c r="G50" s="34" t="n">
        <f aca="false">G46+G47+G48</f>
        <v>94471.0348493666</v>
      </c>
      <c r="H50" s="34" t="n">
        <f aca="false">H46+H47+H48</f>
        <v>68685.4516490744</v>
      </c>
      <c r="I50" s="34" t="n">
        <f aca="false">I46+I47+I48</f>
        <v>21345.4923208555</v>
      </c>
      <c r="J50" s="34" t="n">
        <f aca="false">J46+J47+J48</f>
        <v>18534.9871165124</v>
      </c>
      <c r="K50" s="34" t="n">
        <f aca="false">K46+K47+K48</f>
        <v>16096.6590851447</v>
      </c>
      <c r="L50" s="34" t="n">
        <f aca="false">L46+L47+L48</f>
        <v>13980.9206150869</v>
      </c>
      <c r="M50" s="34" t="n">
        <f aca="false">M46+M47+M48</f>
        <v>12144.8340188333</v>
      </c>
      <c r="N50" s="34" t="n">
        <f aca="false">N46+N47+N48</f>
        <v>10551.2136334732</v>
      </c>
      <c r="O50" s="34" t="n">
        <f aca="false">O46+O47+O48</f>
        <v>9167.85002631839</v>
      </c>
      <c r="P50" s="34" t="n">
        <f aca="false">P46+P47+P48</f>
        <v>7966.83957792995</v>
      </c>
      <c r="Q50" s="34" t="n">
        <f aca="false">Q46+Q47+Q48</f>
        <v>6924.00502370177</v>
      </c>
      <c r="R50" s="34" t="n">
        <f aca="false">R46+R47+R48</f>
        <v>6018.39452296552</v>
      </c>
      <c r="S50" s="34" t="n">
        <f aca="false">S46+S47+S48</f>
        <v>5231.84853624868</v>
      </c>
      <c r="T50" s="34" t="n">
        <f aca="false">T46+T47+T48</f>
        <v>4548.6252655033</v>
      </c>
      <c r="U50" s="34" t="n">
        <f aca="false">U46+U47+U48</f>
        <v>3955.07668202789</v>
      </c>
      <c r="V50" s="34" t="n">
        <f aca="false">V46+V47+V48</f>
        <v>3439.36826095283</v>
      </c>
      <c r="W50" s="34" t="n">
        <f aca="false">W46+W47+W48</f>
        <v>2991.23648406284</v>
      </c>
      <c r="X50" s="34" t="n">
        <f aca="false">X46+X47+X48</f>
        <v>2601.77898545504</v>
      </c>
      <c r="Y50" s="34" t="n">
        <f aca="false">Y46+Y47+Y48</f>
        <v>2263.27291518678</v>
      </c>
      <c r="Z50" s="34" t="n">
        <f aca="false">Z46+Z47+Z48</f>
        <v>1969.01770022639</v>
      </c>
      <c r="AA50" s="34" t="n">
        <f aca="false">AA46+AA47+AA48</f>
        <v>1713.19890307277</v>
      </c>
      <c r="AB50" s="34" t="n">
        <f aca="false">AB46+AB47+AB48</f>
        <v>1490.77032787433</v>
      </c>
    </row>
    <row r="51" customFormat="false" ht="15" hidden="false" customHeight="false" outlineLevel="0" collapsed="false">
      <c r="B51" s="42" t="s">
        <v>200</v>
      </c>
      <c r="C51" s="42" t="s">
        <v>216</v>
      </c>
      <c r="D51" s="34" t="n">
        <f aca="false">SUM(E51:AB51)</f>
        <v>1593822.27067131</v>
      </c>
      <c r="E51" s="34" t="n">
        <f aca="false">E49-E50</f>
        <v>-222890.931931297</v>
      </c>
      <c r="F51" s="34" t="n">
        <f aca="false">F49-F50</f>
        <v>140881.669960115</v>
      </c>
      <c r="G51" s="34" t="n">
        <f aca="false">G49-G50</f>
        <v>176369.970527371</v>
      </c>
      <c r="H51" s="34" t="n">
        <f aca="false">H49-H50</f>
        <v>166962.216848481</v>
      </c>
      <c r="I51" s="34" t="n">
        <f aca="false">I49-I50</f>
        <v>183702.97839702</v>
      </c>
      <c r="J51" s="34" t="n">
        <f aca="false">J49-J50</f>
        <v>159905.708933384</v>
      </c>
      <c r="K51" s="34" t="n">
        <f aca="false">K49-K50</f>
        <v>139204.467351568</v>
      </c>
      <c r="L51" s="34" t="n">
        <f aca="false">L49-L50</f>
        <v>121194.57479174</v>
      </c>
      <c r="M51" s="34" t="n">
        <f aca="false">M49-M50</f>
        <v>105524.515423466</v>
      </c>
      <c r="N51" s="34" t="n">
        <f aca="false">N49-N50</f>
        <v>91888.9143034885</v>
      </c>
      <c r="O51" s="34" t="n">
        <f aca="false">O49-O50</f>
        <v>80022.4481767087</v>
      </c>
      <c r="P51" s="34" t="n">
        <f aca="false">P49-P50</f>
        <v>69694.5645035816</v>
      </c>
      <c r="Q51" s="34" t="n">
        <f aca="false">Q49-Q50</f>
        <v>60704.9007784091</v>
      </c>
      <c r="R51" s="34" t="n">
        <f aca="false">R49-R50</f>
        <v>52879.3107109078</v>
      </c>
      <c r="S51" s="34" t="n">
        <f aca="false">S49-S50</f>
        <v>46066.4163879828</v>
      </c>
      <c r="T51" s="34" t="n">
        <f aca="false">T49-T50</f>
        <v>40134.6163814808</v>
      </c>
      <c r="U51" s="34" t="n">
        <f aca="false">U49-U50</f>
        <v>34969.4891516392</v>
      </c>
      <c r="V51" s="34" t="n">
        <f aca="false">V49-V50</f>
        <v>30471.5392141732</v>
      </c>
      <c r="W51" s="34" t="n">
        <f aca="false">W49-W50</f>
        <v>26554.2405633617</v>
      </c>
      <c r="X51" s="34" t="n">
        <f aca="false">X49-X50</f>
        <v>23142.3379224842</v>
      </c>
      <c r="Y51" s="34" t="n">
        <f aca="false">Y49-Y50</f>
        <v>20170.3716546514</v>
      </c>
      <c r="Z51" s="34" t="n">
        <f aca="false">Z49-Z50</f>
        <v>17581.3967220816</v>
      </c>
      <c r="AA51" s="34" t="n">
        <f aca="false">AA49-AA50</f>
        <v>15325.870025764</v>
      </c>
      <c r="AB51" s="34" t="n">
        <f aca="false">AB49-AB50</f>
        <v>13360.6838727507</v>
      </c>
    </row>
    <row r="52" customFormat="false" ht="15" hidden="false" customHeight="false" outlineLevel="0" collapsed="false">
      <c r="C52" s="9" t="s">
        <v>224</v>
      </c>
      <c r="D52" s="34" t="n">
        <f aca="false">SUMPRODUCT(E49:AB49,'Title Economics'!$E$6:$AB$6)</f>
        <v>2498097.61165568</v>
      </c>
    </row>
    <row r="53" customFormat="false" ht="15" hidden="false" customHeight="false" outlineLevel="0" collapsed="false">
      <c r="C53" s="9" t="s">
        <v>225</v>
      </c>
      <c r="D53" s="34" t="n">
        <f aca="false">SUMPRODUCT(E50:AB50,'Title Economics'!$E$6:$AB$6)</f>
        <v>1039381.38355324</v>
      </c>
    </row>
    <row r="54" customFormat="false" ht="15" hidden="false" customHeight="false" outlineLevel="0" collapsed="false">
      <c r="C54" s="9" t="s">
        <v>226</v>
      </c>
      <c r="D54" s="34" t="n">
        <f aca="false">SUMPRODUCT(E51:AB51,'Title Economics'!$E$6:$AB$6)</f>
        <v>1458716.22810244</v>
      </c>
    </row>
    <row r="55" customFormat="false" ht="15" hidden="false" customHeight="false" outlineLevel="0" collapsed="false">
      <c r="C55" s="9" t="s">
        <v>227</v>
      </c>
      <c r="D55" s="34" t="n">
        <f aca="false">SUMPRODUCT(E44:AB44,'Title Economics'!$E$6:$AB$6)</f>
        <v>2160127.99090682</v>
      </c>
    </row>
    <row r="56" customFormat="false" ht="15" hidden="false" customHeight="false" outlineLevel="0" collapsed="false">
      <c r="C56" s="9" t="s">
        <v>228</v>
      </c>
      <c r="D56" s="34" t="n">
        <f aca="false">SUMPRODUCT(E45:AB45,'Title Economics'!$E$6:$AB$6)</f>
        <v>337969.620748863</v>
      </c>
    </row>
    <row r="57" customFormat="false" ht="15" hidden="false" customHeight="false" outlineLevel="0" collapsed="false">
      <c r="C57" s="9" t="s">
        <v>229</v>
      </c>
      <c r="D57" s="34" t="n">
        <f aca="false">SUMPRODUCT(E48:AB48,'Title Economics'!$E$6:$AB$6)</f>
        <v>259298.449416566</v>
      </c>
    </row>
    <row r="58" customFormat="false" ht="15" hidden="false" customHeight="false" outlineLevel="0" collapsed="false">
      <c r="C58" s="9" t="s">
        <v>230</v>
      </c>
      <c r="D58" s="34" t="n">
        <f aca="false">SUMPRODUCT(E46:AB46,'Title Economics'!$E$6:$AB$6)+SUMPRODUCT(E47:AB47,'Title Economics'!$E$6:$AB$6)</f>
        <v>780082.934136673</v>
      </c>
    </row>
    <row r="61" customFormat="false" ht="15" hidden="false" customHeight="false" outlineLevel="0" collapsed="false">
      <c r="A61" s="38" t="s">
        <v>207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 customFormat="false" ht="15" hidden="false" customHeight="false" outlineLevel="0" collapsed="false">
      <c r="A62" s="14" t="s">
        <v>208</v>
      </c>
      <c r="B62" s="8" t="s">
        <v>122</v>
      </c>
      <c r="C62" s="9" t="s">
        <v>213</v>
      </c>
      <c r="D62" s="34" t="n">
        <f aca="false">SUM(E62:AB62)</f>
        <v>1221862.367232</v>
      </c>
      <c r="E62" s="41" t="n">
        <f aca="false">'Monthly Viewing Forecast'!E50*Scenarios!$C$36</f>
        <v>148423.530623466</v>
      </c>
      <c r="F62" s="41" t="n">
        <f aca="false">'Monthly Viewing Forecast'!F50*Scenarios!$C$36</f>
        <v>131354.824601767</v>
      </c>
      <c r="G62" s="41" t="n">
        <f aca="false">'Monthly Viewing Forecast'!G50*Scenarios!$C$36</f>
        <v>116249.019772564</v>
      </c>
      <c r="H62" s="41" t="n">
        <f aca="false">'Monthly Viewing Forecast'!H50*Scenarios!$C$36</f>
        <v>102880.382498719</v>
      </c>
      <c r="I62" s="41" t="n">
        <f aca="false">'Monthly Viewing Forecast'!I50*Scenarios!$C$36</f>
        <v>91049.1385113663</v>
      </c>
      <c r="J62" s="41" t="n">
        <f aca="false">'Monthly Viewing Forecast'!J50*Scenarios!$C$36</f>
        <v>80578.4875825591</v>
      </c>
      <c r="K62" s="41" t="n">
        <f aca="false">'Monthly Viewing Forecast'!K50*Scenarios!$C$36</f>
        <v>71311.9615105649</v>
      </c>
      <c r="L62" s="41" t="n">
        <f aca="false">'Monthly Viewing Forecast'!L50*Scenarios!$C$36</f>
        <v>63111.0859368499</v>
      </c>
      <c r="M62" s="41" t="n">
        <f aca="false">'Monthly Viewing Forecast'!M50*Scenarios!$C$36</f>
        <v>55853.3110541122</v>
      </c>
      <c r="N62" s="41" t="n">
        <f aca="false">'Monthly Viewing Forecast'!N50*Scenarios!$C$36</f>
        <v>49430.1802828893</v>
      </c>
      <c r="O62" s="41" t="n">
        <f aca="false">'Monthly Viewing Forecast'!O50*Scenarios!$C$36</f>
        <v>43745.709550357</v>
      </c>
      <c r="P62" s="41" t="n">
        <f aca="false">'Monthly Viewing Forecast'!P50*Scenarios!$C$36</f>
        <v>38714.952952066</v>
      </c>
      <c r="Q62" s="41" t="n">
        <f aca="false">'Monthly Viewing Forecast'!Q50*Scenarios!$C$36</f>
        <v>34262.7333625784</v>
      </c>
      <c r="R62" s="41" t="n">
        <f aca="false">'Monthly Viewing Forecast'!R50*Scenarios!$C$36</f>
        <v>30322.5190258819</v>
      </c>
      <c r="S62" s="41" t="n">
        <f aca="false">'Monthly Viewing Forecast'!S50*Scenarios!$C$36</f>
        <v>26835.4293379054</v>
      </c>
      <c r="T62" s="41" t="n">
        <f aca="false">'Monthly Viewing Forecast'!T50*Scenarios!$C$36</f>
        <v>23749.3549640463</v>
      </c>
      <c r="U62" s="41" t="n">
        <f aca="false">'Monthly Viewing Forecast'!U50*Scenarios!$C$36</f>
        <v>21018.179143181</v>
      </c>
      <c r="V62" s="41" t="n">
        <f aca="false">'Monthly Viewing Forecast'!V50*Scenarios!$C$36</f>
        <v>18601.0885417152</v>
      </c>
      <c r="W62" s="41" t="n">
        <f aca="false">'Monthly Viewing Forecast'!W50*Scenarios!$C$36</f>
        <v>16461.9633594179</v>
      </c>
      <c r="X62" s="41" t="n">
        <f aca="false">'Monthly Viewing Forecast'!X50*Scenarios!$C$36</f>
        <v>14568.8375730849</v>
      </c>
      <c r="Y62" s="41" t="n">
        <f aca="false">'Monthly Viewing Forecast'!Y50*Scenarios!$C$36</f>
        <v>12893.4212521801</v>
      </c>
      <c r="Z62" s="41" t="n">
        <f aca="false">'Monthly Viewing Forecast'!Z50*Scenarios!$C$36</f>
        <v>11410.6778081794</v>
      </c>
      <c r="AA62" s="41" t="n">
        <f aca="false">'Monthly Viewing Forecast'!AA50*Scenarios!$C$36</f>
        <v>10098.4498602388</v>
      </c>
      <c r="AB62" s="41" t="n">
        <f aca="false">'Monthly Viewing Forecast'!AB50*Scenarios!$C$36</f>
        <v>8937.12812631131</v>
      </c>
    </row>
    <row r="63" customFormat="false" ht="15" hidden="false" customHeight="false" outlineLevel="0" collapsed="false">
      <c r="A63" s="14"/>
      <c r="B63" s="9"/>
      <c r="C63" s="9" t="s">
        <v>214</v>
      </c>
      <c r="D63" s="34" t="n">
        <f aca="false">SUM(E63:AB63)</f>
        <v>164346.624</v>
      </c>
      <c r="E63" s="41" t="n">
        <f aca="false">'Monthly Viewing Forecast'!E48*Scenarios!$C$36*'Title Inputs'!$C$34</f>
        <v>19963.7101807029</v>
      </c>
      <c r="F63" s="41" t="n">
        <f aca="false">'Monthly Viewing Forecast'!F48*Scenarios!$C$36*'Title Inputs'!$C$34</f>
        <v>17667.883509922</v>
      </c>
      <c r="G63" s="41" t="n">
        <f aca="false">'Monthly Viewing Forecast'!G48*Scenarios!$C$36*'Title Inputs'!$C$34</f>
        <v>15636.076906281</v>
      </c>
      <c r="H63" s="41" t="n">
        <f aca="false">'Monthly Viewing Forecast'!H48*Scenarios!$C$36*'Title Inputs'!$C$34</f>
        <v>13837.9280620587</v>
      </c>
      <c r="I63" s="41" t="n">
        <f aca="false">'Monthly Viewing Forecast'!I48*Scenarios!$C$36*'Title Inputs'!$C$34</f>
        <v>12246.5663349219</v>
      </c>
      <c r="J63" s="41" t="n">
        <f aca="false">'Monthly Viewing Forecast'!J48*Scenarios!$C$36*'Title Inputs'!$C$34</f>
        <v>10838.2112064059</v>
      </c>
      <c r="K63" s="41" t="n">
        <f aca="false">'Monthly Viewing Forecast'!K48*Scenarios!$C$36*'Title Inputs'!$C$34</f>
        <v>9591.81691766923</v>
      </c>
      <c r="L63" s="41" t="n">
        <f aca="false">'Monthly Viewing Forecast'!L48*Scenarios!$C$36*'Title Inputs'!$C$34</f>
        <v>8488.75797213727</v>
      </c>
      <c r="M63" s="41" t="n">
        <f aca="false">'Monthly Viewing Forecast'!M48*Scenarios!$C$36*'Title Inputs'!$C$34</f>
        <v>7512.55080534148</v>
      </c>
      <c r="N63" s="41" t="n">
        <f aca="false">'Monthly Viewing Forecast'!N48*Scenarios!$C$36*'Title Inputs'!$C$34</f>
        <v>6648.60746272721</v>
      </c>
      <c r="O63" s="41" t="n">
        <f aca="false">'Monthly Viewing Forecast'!O48*Scenarios!$C$36*'Title Inputs'!$C$34</f>
        <v>5884.01760451358</v>
      </c>
      <c r="P63" s="41" t="n">
        <f aca="false">'Monthly Viewing Forecast'!P48*Scenarios!$C$36*'Title Inputs'!$C$34</f>
        <v>5207.35557999452</v>
      </c>
      <c r="Q63" s="41" t="n">
        <f aca="false">'Monthly Viewing Forecast'!Q48*Scenarios!$C$36*'Title Inputs'!$C$34</f>
        <v>4608.50968829515</v>
      </c>
      <c r="R63" s="41" t="n">
        <f aca="false">'Monthly Viewing Forecast'!R48*Scenarios!$C$36*'Title Inputs'!$C$34</f>
        <v>4078.53107414121</v>
      </c>
      <c r="S63" s="41" t="n">
        <f aca="false">'Monthly Viewing Forecast'!S48*Scenarios!$C$36*'Title Inputs'!$C$34</f>
        <v>3609.50000061497</v>
      </c>
      <c r="T63" s="41" t="n">
        <f aca="false">'Monthly Viewing Forecast'!T48*Scenarios!$C$36*'Title Inputs'!$C$34</f>
        <v>3194.40750054425</v>
      </c>
      <c r="U63" s="41" t="n">
        <f aca="false">'Monthly Viewing Forecast'!U48*Scenarios!$C$36*'Title Inputs'!$C$34</f>
        <v>2827.05063798166</v>
      </c>
      <c r="V63" s="41" t="n">
        <f aca="false">'Monthly Viewing Forecast'!V48*Scenarios!$C$36*'Title Inputs'!$C$34</f>
        <v>2501.93981461377</v>
      </c>
      <c r="W63" s="41" t="n">
        <f aca="false">'Monthly Viewing Forecast'!W48*Scenarios!$C$36*'Title Inputs'!$C$34</f>
        <v>2214.21673593319</v>
      </c>
      <c r="X63" s="41" t="n">
        <f aca="false">'Monthly Viewing Forecast'!X48*Scenarios!$C$36*'Title Inputs'!$C$34</f>
        <v>1959.58181130087</v>
      </c>
      <c r="Y63" s="41" t="n">
        <f aca="false">'Monthly Viewing Forecast'!Y48*Scenarios!$C$36*'Title Inputs'!$C$34</f>
        <v>1734.22990300127</v>
      </c>
      <c r="Z63" s="41" t="n">
        <f aca="false">'Monthly Viewing Forecast'!Z48*Scenarios!$C$36*'Title Inputs'!$C$34</f>
        <v>1534.79346415612</v>
      </c>
      <c r="AA63" s="41" t="n">
        <f aca="false">'Monthly Viewing Forecast'!AA48*Scenarios!$C$36*'Title Inputs'!$C$34</f>
        <v>1358.29221577817</v>
      </c>
      <c r="AB63" s="41" t="n">
        <f aca="false">'Monthly Viewing Forecast'!AB48*Scenarios!$C$36*'Title Inputs'!$C$34</f>
        <v>1202.08861096368</v>
      </c>
    </row>
    <row r="64" customFormat="false" ht="15" hidden="false" customHeight="false" outlineLevel="0" collapsed="false">
      <c r="A64" s="14"/>
      <c r="B64" s="9"/>
      <c r="C64" s="9" t="s">
        <v>170</v>
      </c>
      <c r="D64" s="34" t="n">
        <f aca="false">SUM(E64:AB64)</f>
        <v>165000</v>
      </c>
      <c r="E64" s="41" t="n">
        <f aca="false">Scenarios!$C$37*INDEX(Assumptions!$C$23:$C$26,E$4)</f>
        <v>90750</v>
      </c>
      <c r="F64" s="41" t="n">
        <f aca="false">Scenarios!$C$37*INDEX(Assumptions!$C$23:$C$26,F$4)</f>
        <v>41250</v>
      </c>
      <c r="G64" s="41" t="n">
        <f aca="false">Scenarios!$C$37*INDEX(Assumptions!$C$23:$C$26,G$4)</f>
        <v>19800</v>
      </c>
      <c r="H64" s="41" t="n">
        <f aca="false">Scenarios!$C$37*INDEX(Assumptions!$C$23:$C$26,H$4)</f>
        <v>13200</v>
      </c>
      <c r="I64" s="41" t="n">
        <f aca="false">0</f>
        <v>0</v>
      </c>
      <c r="J64" s="41" t="n">
        <f aca="false">0</f>
        <v>0</v>
      </c>
      <c r="K64" s="41" t="n">
        <f aca="false">0</f>
        <v>0</v>
      </c>
      <c r="L64" s="41" t="n">
        <f aca="false">0</f>
        <v>0</v>
      </c>
      <c r="M64" s="41" t="n">
        <f aca="false">0</f>
        <v>0</v>
      </c>
      <c r="N64" s="41" t="n">
        <f aca="false">0</f>
        <v>0</v>
      </c>
      <c r="O64" s="41" t="n">
        <f aca="false">0</f>
        <v>0</v>
      </c>
      <c r="P64" s="41" t="n">
        <f aca="false">0</f>
        <v>0</v>
      </c>
      <c r="Q64" s="41" t="n">
        <f aca="false">0</f>
        <v>0</v>
      </c>
      <c r="R64" s="41" t="n">
        <f aca="false">0</f>
        <v>0</v>
      </c>
      <c r="S64" s="41" t="n">
        <f aca="false">0</f>
        <v>0</v>
      </c>
      <c r="T64" s="41" t="n">
        <f aca="false">0</f>
        <v>0</v>
      </c>
      <c r="U64" s="41" t="n">
        <f aca="false">0</f>
        <v>0</v>
      </c>
      <c r="V64" s="41" t="n">
        <f aca="false">0</f>
        <v>0</v>
      </c>
      <c r="W64" s="41" t="n">
        <f aca="false">0</f>
        <v>0</v>
      </c>
      <c r="X64" s="41" t="n">
        <f aca="false">0</f>
        <v>0</v>
      </c>
      <c r="Y64" s="41" t="n">
        <f aca="false">0</f>
        <v>0</v>
      </c>
      <c r="Z64" s="41" t="n">
        <f aca="false">0</f>
        <v>0</v>
      </c>
      <c r="AA64" s="41" t="n">
        <f aca="false">0</f>
        <v>0</v>
      </c>
      <c r="AB64" s="41" t="n">
        <f aca="false">0</f>
        <v>0</v>
      </c>
    </row>
    <row r="65" customFormat="false" ht="15" hidden="false" customHeight="false" outlineLevel="0" collapsed="false">
      <c r="A65" s="14"/>
      <c r="B65" s="9"/>
      <c r="C65" s="9" t="s">
        <v>171</v>
      </c>
      <c r="D65" s="34" t="n">
        <f aca="false">SUM(E65:AB65)</f>
        <v>58000</v>
      </c>
      <c r="E65" s="41" t="n">
        <f aca="false">'Title Inputs'!$C$32</f>
        <v>58000</v>
      </c>
      <c r="F65" s="41" t="n">
        <f aca="false">0</f>
        <v>0</v>
      </c>
      <c r="G65" s="41" t="n">
        <f aca="false">0</f>
        <v>0</v>
      </c>
      <c r="H65" s="41" t="n">
        <f aca="false">0</f>
        <v>0</v>
      </c>
      <c r="I65" s="41" t="n">
        <f aca="false">0</f>
        <v>0</v>
      </c>
      <c r="J65" s="41" t="n">
        <f aca="false">0</f>
        <v>0</v>
      </c>
      <c r="K65" s="41" t="n">
        <f aca="false">0</f>
        <v>0</v>
      </c>
      <c r="L65" s="41" t="n">
        <f aca="false">0</f>
        <v>0</v>
      </c>
      <c r="M65" s="41" t="n">
        <f aca="false">0</f>
        <v>0</v>
      </c>
      <c r="N65" s="41" t="n">
        <f aca="false">0</f>
        <v>0</v>
      </c>
      <c r="O65" s="41" t="n">
        <f aca="false">0</f>
        <v>0</v>
      </c>
      <c r="P65" s="41" t="n">
        <f aca="false">0</f>
        <v>0</v>
      </c>
      <c r="Q65" s="41" t="n">
        <f aca="false">0</f>
        <v>0</v>
      </c>
      <c r="R65" s="41" t="n">
        <f aca="false">0</f>
        <v>0</v>
      </c>
      <c r="S65" s="41" t="n">
        <f aca="false">0</f>
        <v>0</v>
      </c>
      <c r="T65" s="41" t="n">
        <f aca="false">0</f>
        <v>0</v>
      </c>
      <c r="U65" s="41" t="n">
        <f aca="false">0</f>
        <v>0</v>
      </c>
      <c r="V65" s="41" t="n">
        <f aca="false">0</f>
        <v>0</v>
      </c>
      <c r="W65" s="41" t="n">
        <f aca="false">0</f>
        <v>0</v>
      </c>
      <c r="X65" s="41" t="n">
        <f aca="false">0</f>
        <v>0</v>
      </c>
      <c r="Y65" s="41" t="n">
        <f aca="false">0</f>
        <v>0</v>
      </c>
      <c r="Z65" s="41" t="n">
        <f aca="false">0</f>
        <v>0</v>
      </c>
      <c r="AA65" s="41" t="n">
        <f aca="false">0</f>
        <v>0</v>
      </c>
      <c r="AB65" s="41" t="n">
        <f aca="false">0</f>
        <v>0</v>
      </c>
    </row>
    <row r="66" customFormat="false" ht="15" hidden="false" customHeight="false" outlineLevel="0" collapsed="false">
      <c r="A66" s="14"/>
      <c r="B66" s="9"/>
      <c r="C66" s="9" t="s">
        <v>215</v>
      </c>
      <c r="D66" s="34" t="n">
        <f aca="false">SUM(E66:AB66)</f>
        <v>111920.64</v>
      </c>
      <c r="E66" s="41" t="n">
        <f aca="false">'Monthly Viewing Forecast'!E48*'Title Inputs'!$C$33</f>
        <v>13595.3581875754</v>
      </c>
      <c r="F66" s="41" t="n">
        <f aca="false">'Monthly Viewing Forecast'!F48*'Title Inputs'!$C$33</f>
        <v>12031.8919960043</v>
      </c>
      <c r="G66" s="41" t="n">
        <f aca="false">'Monthly Viewing Forecast'!G48*'Title Inputs'!$C$33</f>
        <v>10648.2244164638</v>
      </c>
      <c r="H66" s="41" t="n">
        <f aca="false">'Monthly Viewing Forecast'!H48*'Title Inputs'!$C$33</f>
        <v>9423.67860857043</v>
      </c>
      <c r="I66" s="41" t="n">
        <f aca="false">'Monthly Viewing Forecast'!I48*'Title Inputs'!$C$33</f>
        <v>8339.95556858483</v>
      </c>
      <c r="J66" s="41" t="n">
        <f aca="false">'Monthly Viewing Forecast'!J48*'Title Inputs'!$C$33</f>
        <v>7380.86067819757</v>
      </c>
      <c r="K66" s="41" t="n">
        <f aca="false">'Monthly Viewing Forecast'!K48*'Title Inputs'!$C$33</f>
        <v>6532.06170020485</v>
      </c>
      <c r="L66" s="41" t="n">
        <f aca="false">'Monthly Viewing Forecast'!L48*'Title Inputs'!$C$33</f>
        <v>5780.8746046813</v>
      </c>
      <c r="M66" s="41" t="n">
        <f aca="false">'Monthly Viewing Forecast'!M48*'Title Inputs'!$C$33</f>
        <v>5116.07402514295</v>
      </c>
      <c r="N66" s="41" t="n">
        <f aca="false">'Monthly Viewing Forecast'!N48*'Title Inputs'!$C$33</f>
        <v>4527.72551225151</v>
      </c>
      <c r="O66" s="41" t="n">
        <f aca="false">'Monthly Viewing Forecast'!O48*'Title Inputs'!$C$33</f>
        <v>4007.03707834258</v>
      </c>
      <c r="P66" s="41" t="n">
        <f aca="false">'Monthly Viewing Forecast'!P48*'Title Inputs'!$C$33</f>
        <v>3546.22781433319</v>
      </c>
      <c r="Q66" s="41" t="n">
        <f aca="false">'Monthly Viewing Forecast'!Q48*'Title Inputs'!$C$33</f>
        <v>3138.41161568487</v>
      </c>
      <c r="R66" s="41" t="n">
        <f aca="false">'Monthly Viewing Forecast'!R48*'Title Inputs'!$C$33</f>
        <v>2777.49427988111</v>
      </c>
      <c r="S66" s="41" t="n">
        <f aca="false">'Monthly Viewing Forecast'!S48*'Title Inputs'!$C$33</f>
        <v>2458.08243769478</v>
      </c>
      <c r="T66" s="41" t="n">
        <f aca="false">'Monthly Viewing Forecast'!T48*'Title Inputs'!$C$33</f>
        <v>2175.40295735988</v>
      </c>
      <c r="U66" s="41" t="n">
        <f aca="false">'Monthly Viewing Forecast'!U48*'Title Inputs'!$C$33</f>
        <v>1925.2316172635</v>
      </c>
      <c r="V66" s="41" t="n">
        <f aca="false">'Monthly Viewing Forecast'!V48*'Title Inputs'!$C$33</f>
        <v>1703.82998127819</v>
      </c>
      <c r="W66" s="41" t="n">
        <f aca="false">'Monthly Viewing Forecast'!W48*'Title Inputs'!$C$33</f>
        <v>1507.8895334312</v>
      </c>
      <c r="X66" s="41" t="n">
        <f aca="false">'Monthly Viewing Forecast'!X48*'Title Inputs'!$C$33</f>
        <v>1334.48223708661</v>
      </c>
      <c r="Y66" s="41" t="n">
        <f aca="false">'Monthly Viewing Forecast'!Y48*'Title Inputs'!$C$33</f>
        <v>1181.01677982165</v>
      </c>
      <c r="Z66" s="41" t="n">
        <f aca="false">'Monthly Viewing Forecast'!Z48*'Title Inputs'!$C$33</f>
        <v>1045.19985014216</v>
      </c>
      <c r="AA66" s="41" t="n">
        <f aca="false">'Monthly Viewing Forecast'!AA48*'Title Inputs'!$C$33</f>
        <v>925.001867375814</v>
      </c>
      <c r="AB66" s="41" t="n">
        <f aca="false">'Monthly Viewing Forecast'!AB48*'Title Inputs'!$C$33</f>
        <v>818.626652627596</v>
      </c>
    </row>
    <row r="67" customFormat="false" ht="15" hidden="false" customHeight="false" outlineLevel="0" collapsed="false">
      <c r="A67" s="14"/>
      <c r="B67" s="9"/>
      <c r="C67" s="8" t="s">
        <v>216</v>
      </c>
      <c r="D67" s="34" t="n">
        <f aca="false">SUM(E67:AB67)</f>
        <v>1051288.351232</v>
      </c>
      <c r="E67" s="34" t="n">
        <f aca="false">E62+E63-E64-E65-E66</f>
        <v>6041.88261659296</v>
      </c>
      <c r="F67" s="34" t="n">
        <f aca="false">F62+F63-F64-F65-F66</f>
        <v>95740.8161156848</v>
      </c>
      <c r="G67" s="34" t="n">
        <f aca="false">G62+G63-G64-G65-G66</f>
        <v>101436.872262381</v>
      </c>
      <c r="H67" s="34" t="n">
        <f aca="false">H62+H63-H64-H65-H66</f>
        <v>94094.6319522072</v>
      </c>
      <c r="I67" s="34" t="n">
        <f aca="false">I62+I63-I64-I65-I66</f>
        <v>94955.7492777034</v>
      </c>
      <c r="J67" s="34" t="n">
        <f aca="false">J62+J63-J64-J65-J66</f>
        <v>84035.8381107675</v>
      </c>
      <c r="K67" s="34" t="n">
        <f aca="false">K62+K63-K64-K65-K66</f>
        <v>74371.7167280292</v>
      </c>
      <c r="L67" s="34" t="n">
        <f aca="false">L62+L63-L64-L65-L66</f>
        <v>65818.9693043059</v>
      </c>
      <c r="M67" s="34" t="n">
        <f aca="false">M62+M63-M64-M65-M66</f>
        <v>58249.7878343107</v>
      </c>
      <c r="N67" s="34" t="n">
        <f aca="false">N62+N63-N64-N65-N66</f>
        <v>51551.062233365</v>
      </c>
      <c r="O67" s="34" t="n">
        <f aca="false">O62+O63-O64-O65-O66</f>
        <v>45622.690076528</v>
      </c>
      <c r="P67" s="34" t="n">
        <f aca="false">P62+P63-P64-P65-P66</f>
        <v>40376.0807177273</v>
      </c>
      <c r="Q67" s="34" t="n">
        <f aca="false">Q62+Q63-Q64-Q65-Q66</f>
        <v>35732.8314351886</v>
      </c>
      <c r="R67" s="34" t="n">
        <f aca="false">R62+R63-R64-R65-R66</f>
        <v>31623.5558201419</v>
      </c>
      <c r="S67" s="34" t="n">
        <f aca="false">S62+S63-S64-S65-S66</f>
        <v>27986.8469008256</v>
      </c>
      <c r="T67" s="34" t="n">
        <f aca="false">T62+T63-T64-T65-T66</f>
        <v>24768.3595072307</v>
      </c>
      <c r="U67" s="34" t="n">
        <f aca="false">U62+U63-U64-U65-U66</f>
        <v>21919.9981638992</v>
      </c>
      <c r="V67" s="34" t="n">
        <f aca="false">V62+V63-V64-V65-V66</f>
        <v>19399.1983750507</v>
      </c>
      <c r="W67" s="34" t="n">
        <f aca="false">W62+W63-W64-W65-W66</f>
        <v>17168.2905619199</v>
      </c>
      <c r="X67" s="34" t="n">
        <f aca="false">X62+X63-X64-X65-X66</f>
        <v>15193.9371472991</v>
      </c>
      <c r="Y67" s="34" t="n">
        <f aca="false">Y62+Y63-Y64-Y65-Y66</f>
        <v>13446.6343753597</v>
      </c>
      <c r="Z67" s="34" t="n">
        <f aca="false">Z62+Z63-Z64-Z65-Z66</f>
        <v>11900.2714221934</v>
      </c>
      <c r="AA67" s="34" t="n">
        <f aca="false">AA62+AA63-AA64-AA65-AA66</f>
        <v>10531.7402086411</v>
      </c>
      <c r="AB67" s="34" t="n">
        <f aca="false">AB62+AB63-AB64-AB65-AB66</f>
        <v>9320.59008464739</v>
      </c>
    </row>
    <row r="69" customFormat="false" ht="15" hidden="false" customHeight="false" outlineLevel="0" collapsed="false">
      <c r="A69" s="14" t="s">
        <v>208</v>
      </c>
      <c r="B69" s="8" t="s">
        <v>123</v>
      </c>
      <c r="C69" s="9" t="s">
        <v>213</v>
      </c>
      <c r="D69" s="34" t="n">
        <f aca="false">SUM(E69:AB69)</f>
        <v>776895.0755328</v>
      </c>
      <c r="E69" s="41" t="n">
        <f aca="false">'Monthly Viewing Forecast'!E56*Scenarios!$D$36</f>
        <v>97775.3356669253</v>
      </c>
      <c r="F69" s="41" t="n">
        <f aca="false">'Monthly Viewing Forecast'!F56*Scenarios!$D$36</f>
        <v>86042.2953868943</v>
      </c>
      <c r="G69" s="41" t="n">
        <f aca="false">'Monthly Viewing Forecast'!G56*Scenarios!$D$36</f>
        <v>75717.219940467</v>
      </c>
      <c r="H69" s="41" t="n">
        <f aca="false">'Monthly Viewing Forecast'!H56*Scenarios!$D$36</f>
        <v>66631.1535476109</v>
      </c>
      <c r="I69" s="41" t="n">
        <f aca="false">'Monthly Viewing Forecast'!I56*Scenarios!$D$36</f>
        <v>58635.4151218976</v>
      </c>
      <c r="J69" s="41" t="n">
        <f aca="false">'Monthly Viewing Forecast'!J56*Scenarios!$D$36</f>
        <v>51599.1653072699</v>
      </c>
      <c r="K69" s="41" t="n">
        <f aca="false">'Monthly Viewing Forecast'!K56*Scenarios!$D$36</f>
        <v>45407.2654703975</v>
      </c>
      <c r="L69" s="41" t="n">
        <f aca="false">'Monthly Viewing Forecast'!L56*Scenarios!$D$36</f>
        <v>39958.3936139498</v>
      </c>
      <c r="M69" s="41" t="n">
        <f aca="false">'Monthly Viewing Forecast'!M56*Scenarios!$D$36</f>
        <v>35163.3863802758</v>
      </c>
      <c r="N69" s="41" t="n">
        <f aca="false">'Monthly Viewing Forecast'!N56*Scenarios!$D$36</f>
        <v>30943.7800146427</v>
      </c>
      <c r="O69" s="41" t="n">
        <f aca="false">'Monthly Viewing Forecast'!O56*Scenarios!$D$36</f>
        <v>27230.5264128856</v>
      </c>
      <c r="P69" s="41" t="n">
        <f aca="false">'Monthly Viewing Forecast'!P56*Scenarios!$D$36</f>
        <v>23962.8632433393</v>
      </c>
      <c r="Q69" s="41" t="n">
        <f aca="false">'Monthly Viewing Forecast'!Q56*Scenarios!$D$36</f>
        <v>21087.3196541386</v>
      </c>
      <c r="R69" s="41" t="n">
        <f aca="false">'Monthly Viewing Forecast'!R56*Scenarios!$D$36</f>
        <v>18556.841295642</v>
      </c>
      <c r="S69" s="41" t="n">
        <f aca="false">'Monthly Viewing Forecast'!S56*Scenarios!$D$36</f>
        <v>16330.0203401649</v>
      </c>
      <c r="T69" s="41" t="n">
        <f aca="false">'Monthly Viewing Forecast'!T56*Scenarios!$D$36</f>
        <v>14370.4178993451</v>
      </c>
      <c r="U69" s="41" t="n">
        <f aca="false">'Monthly Viewing Forecast'!U56*Scenarios!$D$36</f>
        <v>12645.9677514237</v>
      </c>
      <c r="V69" s="41" t="n">
        <f aca="false">'Monthly Viewing Forecast'!V56*Scenarios!$D$36</f>
        <v>11128.4516212529</v>
      </c>
      <c r="W69" s="41" t="n">
        <f aca="false">'Monthly Viewing Forecast'!W56*Scenarios!$D$36</f>
        <v>9793.03742670254</v>
      </c>
      <c r="X69" s="41" t="n">
        <f aca="false">'Monthly Viewing Forecast'!X56*Scenarios!$D$36</f>
        <v>8617.87293549824</v>
      </c>
      <c r="Y69" s="41" t="n">
        <f aca="false">'Monthly Viewing Forecast'!Y56*Scenarios!$D$36</f>
        <v>7583.72818323845</v>
      </c>
      <c r="Z69" s="41" t="n">
        <f aca="false">'Monthly Viewing Forecast'!Z56*Scenarios!$D$36</f>
        <v>6673.68080124983</v>
      </c>
      <c r="AA69" s="41" t="n">
        <f aca="false">'Monthly Viewing Forecast'!AA56*Scenarios!$D$36</f>
        <v>5872.83910509985</v>
      </c>
      <c r="AB69" s="41" t="n">
        <f aca="false">'Monthly Viewing Forecast'!AB56*Scenarios!$D$36</f>
        <v>5168.09841248787</v>
      </c>
    </row>
    <row r="70" customFormat="false" ht="15" hidden="false" customHeight="false" outlineLevel="0" collapsed="false">
      <c r="A70" s="14"/>
      <c r="B70" s="9"/>
      <c r="C70" s="9" t="s">
        <v>214</v>
      </c>
      <c r="D70" s="34" t="n">
        <f aca="false">SUM(E70:AB70)</f>
        <v>112398.0144</v>
      </c>
      <c r="E70" s="41" t="n">
        <f aca="false">'Monthly Viewing Forecast'!E54*Scenarios!$D$36*'Title Inputs'!$D$34</f>
        <v>14145.7372203306</v>
      </c>
      <c r="F70" s="41" t="n">
        <f aca="false">'Monthly Viewing Forecast'!F54*Scenarios!$D$36*'Title Inputs'!$D$34</f>
        <v>12448.248753891</v>
      </c>
      <c r="G70" s="41" t="n">
        <f aca="false">'Monthly Viewing Forecast'!G54*Scenarios!$D$36*'Title Inputs'!$D$34</f>
        <v>10954.458903424</v>
      </c>
      <c r="H70" s="41" t="n">
        <f aca="false">'Monthly Viewing Forecast'!H54*Scenarios!$D$36*'Title Inputs'!$D$34</f>
        <v>9639.92383501315</v>
      </c>
      <c r="I70" s="41" t="n">
        <f aca="false">'Monthly Viewing Forecast'!I54*Scenarios!$D$36*'Title Inputs'!$D$34</f>
        <v>8483.13297481158</v>
      </c>
      <c r="J70" s="41" t="n">
        <f aca="false">'Monthly Viewing Forecast'!J54*Scenarios!$D$36*'Title Inputs'!$D$34</f>
        <v>7465.15701783419</v>
      </c>
      <c r="K70" s="41" t="n">
        <f aca="false">'Monthly Viewing Forecast'!K54*Scenarios!$D$36*'Title Inputs'!$D$34</f>
        <v>6569.33817569409</v>
      </c>
      <c r="L70" s="41" t="n">
        <f aca="false">'Monthly Viewing Forecast'!L54*Scenarios!$D$36*'Title Inputs'!$D$34</f>
        <v>5781.0175946108</v>
      </c>
      <c r="M70" s="41" t="n">
        <f aca="false">'Monthly Viewing Forecast'!M54*Scenarios!$D$36*'Title Inputs'!$D$34</f>
        <v>5087.2954832575</v>
      </c>
      <c r="N70" s="41" t="n">
        <f aca="false">'Monthly Viewing Forecast'!N54*Scenarios!$D$36*'Title Inputs'!$D$34</f>
        <v>4476.8200252666</v>
      </c>
      <c r="O70" s="41" t="n">
        <f aca="false">'Monthly Viewing Forecast'!O54*Scenarios!$D$36*'Title Inputs'!$D$34</f>
        <v>3939.60162223461</v>
      </c>
      <c r="P70" s="41" t="n">
        <f aca="false">'Monthly Viewing Forecast'!P54*Scenarios!$D$36*'Title Inputs'!$D$34</f>
        <v>3466.84942756645</v>
      </c>
      <c r="Q70" s="41" t="n">
        <f aca="false">'Monthly Viewing Forecast'!Q54*Scenarios!$D$36*'Title Inputs'!$D$34</f>
        <v>3050.82749625848</v>
      </c>
      <c r="R70" s="41" t="n">
        <f aca="false">'Monthly Viewing Forecast'!R54*Scenarios!$D$36*'Title Inputs'!$D$34</f>
        <v>2684.72819670746</v>
      </c>
      <c r="S70" s="41" t="n">
        <f aca="false">'Monthly Viewing Forecast'!S54*Scenarios!$D$36*'Title Inputs'!$D$34</f>
        <v>2362.56081310257</v>
      </c>
      <c r="T70" s="41" t="n">
        <f aca="false">'Monthly Viewing Forecast'!T54*Scenarios!$D$36*'Title Inputs'!$D$34</f>
        <v>2079.05351553026</v>
      </c>
      <c r="U70" s="41" t="n">
        <f aca="false">'Monthly Viewing Forecast'!U54*Scenarios!$D$36*'Title Inputs'!$D$34</f>
        <v>1829.56709366663</v>
      </c>
      <c r="V70" s="41" t="n">
        <f aca="false">'Monthly Viewing Forecast'!V54*Scenarios!$D$36*'Title Inputs'!$D$34</f>
        <v>1610.01904242663</v>
      </c>
      <c r="W70" s="41" t="n">
        <f aca="false">'Monthly Viewing Forecast'!W54*Scenarios!$D$36*'Title Inputs'!$D$34</f>
        <v>1416.81675733544</v>
      </c>
      <c r="X70" s="41" t="n">
        <f aca="false">'Monthly Viewing Forecast'!X54*Scenarios!$D$36*'Title Inputs'!$D$34</f>
        <v>1246.79874645518</v>
      </c>
      <c r="Y70" s="41" t="n">
        <f aca="false">'Monthly Viewing Forecast'!Y54*Scenarios!$D$36*'Title Inputs'!$D$34</f>
        <v>1097.18289688056</v>
      </c>
      <c r="Z70" s="41" t="n">
        <f aca="false">'Monthly Viewing Forecast'!Z54*Scenarios!$D$36*'Title Inputs'!$D$34</f>
        <v>965.520949254894</v>
      </c>
      <c r="AA70" s="41" t="n">
        <f aca="false">'Monthly Viewing Forecast'!AA54*Scenarios!$D$36*'Title Inputs'!$D$34</f>
        <v>849.658435344307</v>
      </c>
      <c r="AB70" s="41" t="n">
        <f aca="false">'Monthly Viewing Forecast'!AB54*Scenarios!$D$36*'Title Inputs'!$D$34</f>
        <v>747.69942310299</v>
      </c>
    </row>
    <row r="71" customFormat="false" ht="15" hidden="false" customHeight="false" outlineLevel="0" collapsed="false">
      <c r="A71" s="14"/>
      <c r="B71" s="9"/>
      <c r="C71" s="9" t="s">
        <v>170</v>
      </c>
      <c r="D71" s="34" t="n">
        <f aca="false">SUM(E71:AB71)</f>
        <v>130000</v>
      </c>
      <c r="E71" s="41" t="n">
        <f aca="false">Scenarios!$D$37*INDEX(Assumptions!$C$23:$C$26,E$4)</f>
        <v>71500</v>
      </c>
      <c r="F71" s="41" t="n">
        <f aca="false">Scenarios!$D$37*INDEX(Assumptions!$C$23:$C$26,F$4)</f>
        <v>32500</v>
      </c>
      <c r="G71" s="41" t="n">
        <f aca="false">Scenarios!$D$37*INDEX(Assumptions!$C$23:$C$26,G$4)</f>
        <v>15600</v>
      </c>
      <c r="H71" s="41" t="n">
        <f aca="false">Scenarios!$D$37*INDEX(Assumptions!$C$23:$C$26,H$4)</f>
        <v>10400</v>
      </c>
      <c r="I71" s="41" t="n">
        <f aca="false">0</f>
        <v>0</v>
      </c>
      <c r="J71" s="41" t="n">
        <f aca="false">0</f>
        <v>0</v>
      </c>
      <c r="K71" s="41" t="n">
        <f aca="false">0</f>
        <v>0</v>
      </c>
      <c r="L71" s="41" t="n">
        <f aca="false">0</f>
        <v>0</v>
      </c>
      <c r="M71" s="41" t="n">
        <f aca="false">0</f>
        <v>0</v>
      </c>
      <c r="N71" s="41" t="n">
        <f aca="false">0</f>
        <v>0</v>
      </c>
      <c r="O71" s="41" t="n">
        <f aca="false">0</f>
        <v>0</v>
      </c>
      <c r="P71" s="41" t="n">
        <f aca="false">0</f>
        <v>0</v>
      </c>
      <c r="Q71" s="41" t="n">
        <f aca="false">0</f>
        <v>0</v>
      </c>
      <c r="R71" s="41" t="n">
        <f aca="false">0</f>
        <v>0</v>
      </c>
      <c r="S71" s="41" t="n">
        <f aca="false">0</f>
        <v>0</v>
      </c>
      <c r="T71" s="41" t="n">
        <f aca="false">0</f>
        <v>0</v>
      </c>
      <c r="U71" s="41" t="n">
        <f aca="false">0</f>
        <v>0</v>
      </c>
      <c r="V71" s="41" t="n">
        <f aca="false">0</f>
        <v>0</v>
      </c>
      <c r="W71" s="41" t="n">
        <f aca="false">0</f>
        <v>0</v>
      </c>
      <c r="X71" s="41" t="n">
        <f aca="false">0</f>
        <v>0</v>
      </c>
      <c r="Y71" s="41" t="n">
        <f aca="false">0</f>
        <v>0</v>
      </c>
      <c r="Z71" s="41" t="n">
        <f aca="false">0</f>
        <v>0</v>
      </c>
      <c r="AA71" s="41" t="n">
        <f aca="false">0</f>
        <v>0</v>
      </c>
      <c r="AB71" s="41" t="n">
        <f aca="false">0</f>
        <v>0</v>
      </c>
    </row>
    <row r="72" customFormat="false" ht="15" hidden="false" customHeight="false" outlineLevel="0" collapsed="false">
      <c r="A72" s="14"/>
      <c r="B72" s="9"/>
      <c r="C72" s="9" t="s">
        <v>171</v>
      </c>
      <c r="D72" s="34" t="n">
        <f aca="false">SUM(E72:AB72)</f>
        <v>52000</v>
      </c>
      <c r="E72" s="41" t="n">
        <f aca="false">'Title Inputs'!$D$32</f>
        <v>52000</v>
      </c>
      <c r="F72" s="41" t="n">
        <f aca="false">0</f>
        <v>0</v>
      </c>
      <c r="G72" s="41" t="n">
        <f aca="false">0</f>
        <v>0</v>
      </c>
      <c r="H72" s="41" t="n">
        <f aca="false">0</f>
        <v>0</v>
      </c>
      <c r="I72" s="41" t="n">
        <f aca="false">0</f>
        <v>0</v>
      </c>
      <c r="J72" s="41" t="n">
        <f aca="false">0</f>
        <v>0</v>
      </c>
      <c r="K72" s="41" t="n">
        <f aca="false">0</f>
        <v>0</v>
      </c>
      <c r="L72" s="41" t="n">
        <f aca="false">0</f>
        <v>0</v>
      </c>
      <c r="M72" s="41" t="n">
        <f aca="false">0</f>
        <v>0</v>
      </c>
      <c r="N72" s="41" t="n">
        <f aca="false">0</f>
        <v>0</v>
      </c>
      <c r="O72" s="41" t="n">
        <f aca="false">0</f>
        <v>0</v>
      </c>
      <c r="P72" s="41" t="n">
        <f aca="false">0</f>
        <v>0</v>
      </c>
      <c r="Q72" s="41" t="n">
        <f aca="false">0</f>
        <v>0</v>
      </c>
      <c r="R72" s="41" t="n">
        <f aca="false">0</f>
        <v>0</v>
      </c>
      <c r="S72" s="41" t="n">
        <f aca="false">0</f>
        <v>0</v>
      </c>
      <c r="T72" s="41" t="n">
        <f aca="false">0</f>
        <v>0</v>
      </c>
      <c r="U72" s="41" t="n">
        <f aca="false">0</f>
        <v>0</v>
      </c>
      <c r="V72" s="41" t="n">
        <f aca="false">0</f>
        <v>0</v>
      </c>
      <c r="W72" s="41" t="n">
        <f aca="false">0</f>
        <v>0</v>
      </c>
      <c r="X72" s="41" t="n">
        <f aca="false">0</f>
        <v>0</v>
      </c>
      <c r="Y72" s="41" t="n">
        <f aca="false">0</f>
        <v>0</v>
      </c>
      <c r="Z72" s="41" t="n">
        <f aca="false">0</f>
        <v>0</v>
      </c>
      <c r="AA72" s="41" t="n">
        <f aca="false">0</f>
        <v>0</v>
      </c>
      <c r="AB72" s="41" t="n">
        <f aca="false">0</f>
        <v>0</v>
      </c>
    </row>
    <row r="73" customFormat="false" ht="15" hidden="false" customHeight="false" outlineLevel="0" collapsed="false">
      <c r="A73" s="14"/>
      <c r="B73" s="9"/>
      <c r="C73" s="9" t="s">
        <v>215</v>
      </c>
      <c r="D73" s="34" t="n">
        <f aca="false">SUM(E73:AB73)</f>
        <v>81822.3093333333</v>
      </c>
      <c r="E73" s="41" t="n">
        <f aca="false">'Monthly Viewing Forecast'!E54*'Title Inputs'!$D$33</f>
        <v>10297.6631105855</v>
      </c>
      <c r="F73" s="41" t="n">
        <f aca="false">'Monthly Viewing Forecast'!F54*'Title Inputs'!$D$33</f>
        <v>9061.94353731526</v>
      </c>
      <c r="G73" s="41" t="n">
        <f aca="false">'Monthly Viewing Forecast'!G54*'Title Inputs'!$D$33</f>
        <v>7974.51031283742</v>
      </c>
      <c r="H73" s="41" t="n">
        <f aca="false">'Monthly Viewing Forecast'!H54*'Title Inputs'!$D$33</f>
        <v>7017.56907529693</v>
      </c>
      <c r="I73" s="41" t="n">
        <f aca="false">'Monthly Viewing Forecast'!I54*'Title Inputs'!$D$33</f>
        <v>6175.4607862613</v>
      </c>
      <c r="J73" s="41" t="n">
        <f aca="false">'Monthly Viewing Forecast'!J54*'Title Inputs'!$D$33</f>
        <v>5434.40549190994</v>
      </c>
      <c r="K73" s="41" t="n">
        <f aca="false">'Monthly Viewing Forecast'!K54*'Title Inputs'!$D$33</f>
        <v>4782.27683288075</v>
      </c>
      <c r="L73" s="41" t="n">
        <f aca="false">'Monthly Viewing Forecast'!L54*'Title Inputs'!$D$33</f>
        <v>4208.40361293506</v>
      </c>
      <c r="M73" s="41" t="n">
        <f aca="false">'Monthly Viewing Forecast'!M54*'Title Inputs'!$D$33</f>
        <v>3703.39517938285</v>
      </c>
      <c r="N73" s="41" t="n">
        <f aca="false">'Monthly Viewing Forecast'!N54*'Title Inputs'!$D$33</f>
        <v>3258.98775785691</v>
      </c>
      <c r="O73" s="41" t="n">
        <f aca="false">'Monthly Viewing Forecast'!O54*'Title Inputs'!$D$33</f>
        <v>2867.90922691408</v>
      </c>
      <c r="P73" s="41" t="n">
        <f aca="false">'Monthly Viewing Forecast'!P54*'Title Inputs'!$D$33</f>
        <v>2523.76011968439</v>
      </c>
      <c r="Q73" s="41" t="n">
        <f aca="false">'Monthly Viewing Forecast'!Q54*'Title Inputs'!$D$33</f>
        <v>2220.90890532226</v>
      </c>
      <c r="R73" s="41" t="n">
        <f aca="false">'Monthly Viewing Forecast'!R54*'Title Inputs'!$D$33</f>
        <v>1954.39983668359</v>
      </c>
      <c r="S73" s="41" t="n">
        <f aca="false">'Monthly Viewing Forecast'!S54*'Title Inputs'!$D$33</f>
        <v>1719.87185628156</v>
      </c>
      <c r="T73" s="41" t="n">
        <f aca="false">'Monthly Viewing Forecast'!T54*'Title Inputs'!$D$33</f>
        <v>1513.48723352777</v>
      </c>
      <c r="U73" s="41" t="n">
        <f aca="false">'Monthly Viewing Forecast'!U54*'Title Inputs'!$D$33</f>
        <v>1331.86876550444</v>
      </c>
      <c r="V73" s="41" t="n">
        <f aca="false">'Monthly Viewing Forecast'!V54*'Title Inputs'!$D$33</f>
        <v>1172.04451364391</v>
      </c>
      <c r="W73" s="41" t="n">
        <f aca="false">'Monthly Viewing Forecast'!W54*'Title Inputs'!$D$33</f>
        <v>1031.39917200664</v>
      </c>
      <c r="X73" s="41" t="n">
        <f aca="false">'Monthly Viewing Forecast'!X54*'Title Inputs'!$D$33</f>
        <v>907.631271365843</v>
      </c>
      <c r="Y73" s="41" t="n">
        <f aca="false">'Monthly Viewing Forecast'!Y54*'Title Inputs'!$D$33</f>
        <v>798.715518801942</v>
      </c>
      <c r="Z73" s="41" t="n">
        <f aca="false">'Monthly Viewing Forecast'!Z54*'Title Inputs'!$D$33</f>
        <v>702.869656545709</v>
      </c>
      <c r="AA73" s="41" t="n">
        <f aca="false">'Monthly Viewing Forecast'!AA54*'Title Inputs'!$D$33</f>
        <v>618.525297760224</v>
      </c>
      <c r="AB73" s="41" t="n">
        <f aca="false">'Monthly Viewing Forecast'!AB54*'Title Inputs'!$D$33</f>
        <v>544.302262028997</v>
      </c>
    </row>
    <row r="74" customFormat="false" ht="15" hidden="false" customHeight="false" outlineLevel="0" collapsed="false">
      <c r="A74" s="14"/>
      <c r="B74" s="9"/>
      <c r="C74" s="8" t="s">
        <v>216</v>
      </c>
      <c r="D74" s="34" t="n">
        <f aca="false">SUM(E74:AB74)</f>
        <v>625470.780599467</v>
      </c>
      <c r="E74" s="34" t="n">
        <f aca="false">E69+E70-E71-E72-E73</f>
        <v>-21876.5902233296</v>
      </c>
      <c r="F74" s="34" t="n">
        <f aca="false">F69+F70-F71-F72-F73</f>
        <v>56928.60060347</v>
      </c>
      <c r="G74" s="34" t="n">
        <f aca="false">G69+G70-G71-G72-G73</f>
        <v>63097.1685310536</v>
      </c>
      <c r="H74" s="34" t="n">
        <f aca="false">H69+H70-H71-H72-H73</f>
        <v>58853.5083073271</v>
      </c>
      <c r="I74" s="34" t="n">
        <f aca="false">I69+I70-I71-I72-I73</f>
        <v>60943.0873104479</v>
      </c>
      <c r="J74" s="34" t="n">
        <f aca="false">J69+J70-J71-J72-J73</f>
        <v>53629.9168331942</v>
      </c>
      <c r="K74" s="34" t="n">
        <f aca="false">K69+K70-K71-K72-K73</f>
        <v>47194.3268132109</v>
      </c>
      <c r="L74" s="34" t="n">
        <f aca="false">L69+L70-L71-L72-L73</f>
        <v>41531.0075956255</v>
      </c>
      <c r="M74" s="34" t="n">
        <f aca="false">M69+M70-M71-M72-M73</f>
        <v>36547.2866841505</v>
      </c>
      <c r="N74" s="34" t="n">
        <f aca="false">N69+N70-N71-N72-N73</f>
        <v>32161.6122820524</v>
      </c>
      <c r="O74" s="34" t="n">
        <f aca="false">O69+O70-O71-O72-O73</f>
        <v>28302.2188082061</v>
      </c>
      <c r="P74" s="34" t="n">
        <f aca="false">P69+P70-P71-P72-P73</f>
        <v>24905.9525512214</v>
      </c>
      <c r="Q74" s="34" t="n">
        <f aca="false">Q69+Q70-Q71-Q72-Q73</f>
        <v>21917.2382450748</v>
      </c>
      <c r="R74" s="34" t="n">
        <f aca="false">R69+R70-R71-R72-R73</f>
        <v>19287.1696556659</v>
      </c>
      <c r="S74" s="34" t="n">
        <f aca="false">S69+S70-S71-S72-S73</f>
        <v>16972.7092969859</v>
      </c>
      <c r="T74" s="34" t="n">
        <f aca="false">T69+T70-T71-T72-T73</f>
        <v>14935.9841813476</v>
      </c>
      <c r="U74" s="34" t="n">
        <f aca="false">U69+U70-U71-U72-U73</f>
        <v>13143.6660795859</v>
      </c>
      <c r="V74" s="34" t="n">
        <f aca="false">V69+V70-V71-V72-V73</f>
        <v>11566.4261500356</v>
      </c>
      <c r="W74" s="34" t="n">
        <f aca="false">W69+W70-W71-W72-W73</f>
        <v>10178.4550120313</v>
      </c>
      <c r="X74" s="34" t="n">
        <f aca="false">X69+X70-X71-X72-X73</f>
        <v>8957.04041058758</v>
      </c>
      <c r="Y74" s="34" t="n">
        <f aca="false">Y69+Y70-Y71-Y72-Y73</f>
        <v>7882.19556131707</v>
      </c>
      <c r="Z74" s="34" t="n">
        <f aca="false">Z69+Z70-Z71-Z72-Z73</f>
        <v>6936.33209395902</v>
      </c>
      <c r="AA74" s="34" t="n">
        <f aca="false">AA69+AA70-AA71-AA72-AA73</f>
        <v>6103.97224268393</v>
      </c>
      <c r="AB74" s="34" t="n">
        <f aca="false">AB69+AB70-AB71-AB72-AB73</f>
        <v>5371.49557356186</v>
      </c>
    </row>
    <row r="76" customFormat="false" ht="15" hidden="false" customHeight="false" outlineLevel="0" collapsed="false">
      <c r="A76" s="14" t="s">
        <v>208</v>
      </c>
      <c r="B76" s="8" t="s">
        <v>124</v>
      </c>
      <c r="C76" s="9" t="s">
        <v>213</v>
      </c>
      <c r="D76" s="34" t="n">
        <f aca="false">SUM(E76:AB76)</f>
        <v>490501.22</v>
      </c>
      <c r="E76" s="41" t="n">
        <f aca="false">'Monthly Viewing Forecast'!E62*Scenarios!$E$36</f>
        <v>65220.7400051384</v>
      </c>
      <c r="F76" s="41" t="n">
        <f aca="false">'Monthly Viewing Forecast'!F62*Scenarios!$E$36</f>
        <v>56872.4852844807</v>
      </c>
      <c r="G76" s="41" t="n">
        <f aca="false">'Monthly Viewing Forecast'!G62*Scenarios!$E$36</f>
        <v>49592.8071680672</v>
      </c>
      <c r="H76" s="41" t="n">
        <f aca="false">'Monthly Viewing Forecast'!H62*Scenarios!$E$36</f>
        <v>43244.9278505546</v>
      </c>
      <c r="I76" s="41" t="n">
        <f aca="false">'Monthly Viewing Forecast'!I62*Scenarios!$E$36</f>
        <v>37709.5770856836</v>
      </c>
      <c r="J76" s="41" t="n">
        <f aca="false">'Monthly Viewing Forecast'!J62*Scenarios!$E$36</f>
        <v>32882.7512187161</v>
      </c>
      <c r="K76" s="41" t="n">
        <f aca="false">'Monthly Viewing Forecast'!K62*Scenarios!$E$36</f>
        <v>28673.7590627204</v>
      </c>
      <c r="L76" s="41" t="n">
        <f aca="false">'Monthly Viewing Forecast'!L62*Scenarios!$E$36</f>
        <v>25003.5179026922</v>
      </c>
      <c r="M76" s="41" t="n">
        <f aca="false">'Monthly Viewing Forecast'!M62*Scenarios!$E$36</f>
        <v>21803.0676111476</v>
      </c>
      <c r="N76" s="41" t="n">
        <f aca="false">'Monthly Viewing Forecast'!N62*Scenarios!$E$36</f>
        <v>19012.2749569207</v>
      </c>
      <c r="O76" s="41" t="n">
        <f aca="false">'Monthly Viewing Forecast'!O62*Scenarios!$E$36</f>
        <v>16578.7037624349</v>
      </c>
      <c r="P76" s="41" t="n">
        <f aca="false">'Monthly Viewing Forecast'!P62*Scenarios!$E$36</f>
        <v>14456.6296808432</v>
      </c>
      <c r="Q76" s="41" t="n">
        <f aca="false">'Monthly Viewing Forecast'!Q62*Scenarios!$E$36</f>
        <v>12606.1810816953</v>
      </c>
      <c r="R76" s="41" t="n">
        <f aca="false">'Monthly Viewing Forecast'!R62*Scenarios!$E$36</f>
        <v>10992.5899032383</v>
      </c>
      <c r="S76" s="41" t="n">
        <f aca="false">'Monthly Viewing Forecast'!S62*Scenarios!$E$36</f>
        <v>9585.53839562378</v>
      </c>
      <c r="T76" s="41" t="n">
        <f aca="false">'Monthly Viewing Forecast'!T62*Scenarios!$E$36</f>
        <v>8358.58948098393</v>
      </c>
      <c r="U76" s="41" t="n">
        <f aca="false">'Monthly Viewing Forecast'!U62*Scenarios!$E$36</f>
        <v>7288.69002741799</v>
      </c>
      <c r="V76" s="41" t="n">
        <f aca="false">'Monthly Viewing Forecast'!V62*Scenarios!$E$36</f>
        <v>6355.73770390849</v>
      </c>
      <c r="W76" s="41" t="n">
        <f aca="false">'Monthly Viewing Forecast'!W62*Scenarios!$E$36</f>
        <v>5542.2032778082</v>
      </c>
      <c r="X76" s="41" t="n">
        <f aca="false">'Monthly Viewing Forecast'!X62*Scenarios!$E$36</f>
        <v>4832.80125824875</v>
      </c>
      <c r="Y76" s="41" t="n">
        <f aca="false">'Monthly Viewing Forecast'!Y62*Scenarios!$E$36</f>
        <v>4214.20269719291</v>
      </c>
      <c r="Z76" s="41" t="n">
        <f aca="false">'Monthly Viewing Forecast'!Z62*Scenarios!$E$36</f>
        <v>3674.78475195222</v>
      </c>
      <c r="AA76" s="41" t="n">
        <f aca="false">'Monthly Viewing Forecast'!AA62*Scenarios!$E$36</f>
        <v>3204.41230370233</v>
      </c>
      <c r="AB76" s="41" t="n">
        <f aca="false">'Monthly Viewing Forecast'!AB62*Scenarios!$E$36</f>
        <v>2794.24752882843</v>
      </c>
    </row>
    <row r="77" customFormat="false" ht="15" hidden="false" customHeight="false" outlineLevel="0" collapsed="false">
      <c r="A77" s="14"/>
      <c r="B77" s="9"/>
      <c r="C77" s="9" t="s">
        <v>214</v>
      </c>
      <c r="D77" s="34" t="n">
        <f aca="false">SUM(E77:AB77)</f>
        <v>77393.25</v>
      </c>
      <c r="E77" s="41" t="n">
        <f aca="false">'Monthly Viewing Forecast'!E60*Scenarios!$E$36*'Title Inputs'!$E$34</f>
        <v>10290.7899727603</v>
      </c>
      <c r="F77" s="41" t="n">
        <f aca="false">'Monthly Viewing Forecast'!F60*Scenarios!$E$36*'Title Inputs'!$E$34</f>
        <v>8973.56885624695</v>
      </c>
      <c r="G77" s="41" t="n">
        <f aca="false">'Monthly Viewing Forecast'!G60*Scenarios!$E$36*'Title Inputs'!$E$34</f>
        <v>7824.95204264734</v>
      </c>
      <c r="H77" s="41" t="n">
        <f aca="false">'Monthly Viewing Forecast'!H60*Scenarios!$E$36*'Title Inputs'!$E$34</f>
        <v>6823.35818118848</v>
      </c>
      <c r="I77" s="41" t="n">
        <f aca="false">'Monthly Viewing Forecast'!I60*Scenarios!$E$36*'Title Inputs'!$E$34</f>
        <v>5949.96833399636</v>
      </c>
      <c r="J77" s="41" t="n">
        <f aca="false">'Monthly Viewing Forecast'!J60*Scenarios!$E$36*'Title Inputs'!$E$34</f>
        <v>5188.37238724482</v>
      </c>
      <c r="K77" s="41" t="n">
        <f aca="false">'Monthly Viewing Forecast'!K60*Scenarios!$E$36*'Title Inputs'!$E$34</f>
        <v>4524.26072167749</v>
      </c>
      <c r="L77" s="41" t="n">
        <f aca="false">'Monthly Viewing Forecast'!L60*Scenarios!$E$36*'Title Inputs'!$E$34</f>
        <v>3945.15534930277</v>
      </c>
      <c r="M77" s="41" t="n">
        <f aca="false">'Monthly Viewing Forecast'!M60*Scenarios!$E$36*'Title Inputs'!$E$34</f>
        <v>3440.17546459201</v>
      </c>
      <c r="N77" s="41" t="n">
        <f aca="false">'Monthly Viewing Forecast'!N60*Scenarios!$E$36*'Title Inputs'!$E$34</f>
        <v>2999.83300512424</v>
      </c>
      <c r="O77" s="41" t="n">
        <f aca="false">'Monthly Viewing Forecast'!O60*Scenarios!$E$36*'Title Inputs'!$E$34</f>
        <v>2615.85438046833</v>
      </c>
      <c r="P77" s="41" t="n">
        <f aca="false">'Monthly Viewing Forecast'!P60*Scenarios!$E$36*'Title Inputs'!$E$34</f>
        <v>2281.02501976839</v>
      </c>
      <c r="Q77" s="41" t="n">
        <f aca="false">'Monthly Viewing Forecast'!Q60*Scenarios!$E$36*'Title Inputs'!$E$34</f>
        <v>1989.05381723803</v>
      </c>
      <c r="R77" s="41" t="n">
        <f aca="false">'Monthly Viewing Forecast'!R60*Scenarios!$E$36*'Title Inputs'!$E$34</f>
        <v>1734.45492863156</v>
      </c>
      <c r="S77" s="41" t="n">
        <f aca="false">'Monthly Viewing Forecast'!S60*Scenarios!$E$36*'Title Inputs'!$E$34</f>
        <v>1512.44469776672</v>
      </c>
      <c r="T77" s="41" t="n">
        <f aca="false">'Monthly Viewing Forecast'!T60*Scenarios!$E$36*'Title Inputs'!$E$34</f>
        <v>1318.85177645258</v>
      </c>
      <c r="U77" s="41" t="n">
        <f aca="false">'Monthly Viewing Forecast'!U60*Scenarios!$E$36*'Title Inputs'!$E$34</f>
        <v>1150.03874906665</v>
      </c>
      <c r="V77" s="41" t="n">
        <f aca="false">'Monthly Viewing Forecast'!V60*Scenarios!$E$36*'Title Inputs'!$E$34</f>
        <v>1002.83378918612</v>
      </c>
      <c r="W77" s="41" t="n">
        <f aca="false">'Monthly Viewing Forecast'!W60*Scenarios!$E$36*'Title Inputs'!$E$34</f>
        <v>874.471064170298</v>
      </c>
      <c r="X77" s="41" t="n">
        <f aca="false">'Monthly Viewing Forecast'!X60*Scenarios!$E$36*'Title Inputs'!$E$34</f>
        <v>762.5387679565</v>
      </c>
      <c r="Y77" s="41" t="n">
        <f aca="false">'Monthly Viewing Forecast'!Y60*Scenarios!$E$36*'Title Inputs'!$E$34</f>
        <v>664.933805658068</v>
      </c>
      <c r="Z77" s="41" t="n">
        <f aca="false">'Monthly Viewing Forecast'!Z60*Scenarios!$E$36*'Title Inputs'!$E$34</f>
        <v>579.822278533835</v>
      </c>
      <c r="AA77" s="41" t="n">
        <f aca="false">'Monthly Viewing Forecast'!AA60*Scenarios!$E$36*'Title Inputs'!$E$34</f>
        <v>505.605026881504</v>
      </c>
      <c r="AB77" s="41" t="n">
        <f aca="false">'Monthly Viewing Forecast'!AB60*Scenarios!$E$36*'Title Inputs'!$E$34</f>
        <v>440.887583440672</v>
      </c>
    </row>
    <row r="78" customFormat="false" ht="15" hidden="false" customHeight="false" outlineLevel="0" collapsed="false">
      <c r="A78" s="14"/>
      <c r="B78" s="9"/>
      <c r="C78" s="9" t="s">
        <v>170</v>
      </c>
      <c r="D78" s="34" t="n">
        <f aca="false">SUM(E78:AB78)</f>
        <v>100000</v>
      </c>
      <c r="E78" s="41" t="n">
        <f aca="false">Scenarios!$E$37*INDEX(Assumptions!$C$23:$C$26,E$4)</f>
        <v>55000</v>
      </c>
      <c r="F78" s="41" t="n">
        <f aca="false">Scenarios!$E$37*INDEX(Assumptions!$C$23:$C$26,F$4)</f>
        <v>25000</v>
      </c>
      <c r="G78" s="41" t="n">
        <f aca="false">Scenarios!$E$37*INDEX(Assumptions!$C$23:$C$26,G$4)</f>
        <v>12000</v>
      </c>
      <c r="H78" s="41" t="n">
        <f aca="false">Scenarios!$E$37*INDEX(Assumptions!$C$23:$C$26,H$4)</f>
        <v>8000</v>
      </c>
      <c r="I78" s="41" t="n">
        <f aca="false">0</f>
        <v>0</v>
      </c>
      <c r="J78" s="41" t="n">
        <f aca="false">0</f>
        <v>0</v>
      </c>
      <c r="K78" s="41" t="n">
        <f aca="false">0</f>
        <v>0</v>
      </c>
      <c r="L78" s="41" t="n">
        <f aca="false">0</f>
        <v>0</v>
      </c>
      <c r="M78" s="41" t="n">
        <f aca="false">0</f>
        <v>0</v>
      </c>
      <c r="N78" s="41" t="n">
        <f aca="false">0</f>
        <v>0</v>
      </c>
      <c r="O78" s="41" t="n">
        <f aca="false">0</f>
        <v>0</v>
      </c>
      <c r="P78" s="41" t="n">
        <f aca="false">0</f>
        <v>0</v>
      </c>
      <c r="Q78" s="41" t="n">
        <f aca="false">0</f>
        <v>0</v>
      </c>
      <c r="R78" s="41" t="n">
        <f aca="false">0</f>
        <v>0</v>
      </c>
      <c r="S78" s="41" t="n">
        <f aca="false">0</f>
        <v>0</v>
      </c>
      <c r="T78" s="41" t="n">
        <f aca="false">0</f>
        <v>0</v>
      </c>
      <c r="U78" s="41" t="n">
        <f aca="false">0</f>
        <v>0</v>
      </c>
      <c r="V78" s="41" t="n">
        <f aca="false">0</f>
        <v>0</v>
      </c>
      <c r="W78" s="41" t="n">
        <f aca="false">0</f>
        <v>0</v>
      </c>
      <c r="X78" s="41" t="n">
        <f aca="false">0</f>
        <v>0</v>
      </c>
      <c r="Y78" s="41" t="n">
        <f aca="false">0</f>
        <v>0</v>
      </c>
      <c r="Z78" s="41" t="n">
        <f aca="false">0</f>
        <v>0</v>
      </c>
      <c r="AA78" s="41" t="n">
        <f aca="false">0</f>
        <v>0</v>
      </c>
      <c r="AB78" s="41" t="n">
        <f aca="false">0</f>
        <v>0</v>
      </c>
    </row>
    <row r="79" customFormat="false" ht="15" hidden="false" customHeight="false" outlineLevel="0" collapsed="false">
      <c r="A79" s="14"/>
      <c r="B79" s="9"/>
      <c r="C79" s="9" t="s">
        <v>171</v>
      </c>
      <c r="D79" s="34" t="n">
        <f aca="false">SUM(E79:AB79)</f>
        <v>46000</v>
      </c>
      <c r="E79" s="41" t="n">
        <f aca="false">'Title Inputs'!$E$32</f>
        <v>46000</v>
      </c>
      <c r="F79" s="41" t="n">
        <f aca="false">0</f>
        <v>0</v>
      </c>
      <c r="G79" s="41" t="n">
        <f aca="false">0</f>
        <v>0</v>
      </c>
      <c r="H79" s="41" t="n">
        <f aca="false">0</f>
        <v>0</v>
      </c>
      <c r="I79" s="41" t="n">
        <f aca="false">0</f>
        <v>0</v>
      </c>
      <c r="J79" s="41" t="n">
        <f aca="false">0</f>
        <v>0</v>
      </c>
      <c r="K79" s="41" t="n">
        <f aca="false">0</f>
        <v>0</v>
      </c>
      <c r="L79" s="41" t="n">
        <f aca="false">0</f>
        <v>0</v>
      </c>
      <c r="M79" s="41" t="n">
        <f aca="false">0</f>
        <v>0</v>
      </c>
      <c r="N79" s="41" t="n">
        <f aca="false">0</f>
        <v>0</v>
      </c>
      <c r="O79" s="41" t="n">
        <f aca="false">0</f>
        <v>0</v>
      </c>
      <c r="P79" s="41" t="n">
        <f aca="false">0</f>
        <v>0</v>
      </c>
      <c r="Q79" s="41" t="n">
        <f aca="false">0</f>
        <v>0</v>
      </c>
      <c r="R79" s="41" t="n">
        <f aca="false">0</f>
        <v>0</v>
      </c>
      <c r="S79" s="41" t="n">
        <f aca="false">0</f>
        <v>0</v>
      </c>
      <c r="T79" s="41" t="n">
        <f aca="false">0</f>
        <v>0</v>
      </c>
      <c r="U79" s="41" t="n">
        <f aca="false">0</f>
        <v>0</v>
      </c>
      <c r="V79" s="41" t="n">
        <f aca="false">0</f>
        <v>0</v>
      </c>
      <c r="W79" s="41" t="n">
        <f aca="false">0</f>
        <v>0</v>
      </c>
      <c r="X79" s="41" t="n">
        <f aca="false">0</f>
        <v>0</v>
      </c>
      <c r="Y79" s="41" t="n">
        <f aca="false">0</f>
        <v>0</v>
      </c>
      <c r="Z79" s="41" t="n">
        <f aca="false">0</f>
        <v>0</v>
      </c>
      <c r="AA79" s="41" t="n">
        <f aca="false">0</f>
        <v>0</v>
      </c>
      <c r="AB79" s="41" t="n">
        <f aca="false">0</f>
        <v>0</v>
      </c>
    </row>
    <row r="80" customFormat="false" ht="15" hidden="false" customHeight="false" outlineLevel="0" collapsed="false">
      <c r="A80" s="14"/>
      <c r="B80" s="9"/>
      <c r="C80" s="9" t="s">
        <v>215</v>
      </c>
      <c r="D80" s="34" t="n">
        <f aca="false">SUM(E80:AB80)</f>
        <v>59413</v>
      </c>
      <c r="E80" s="41" t="n">
        <f aca="false">'Monthly Viewing Forecast'!E60*'Title Inputs'!$E$33</f>
        <v>7900.00038312909</v>
      </c>
      <c r="F80" s="41" t="n">
        <f aca="false">'Monthly Viewing Forecast'!F60*'Title Inputs'!$E$33</f>
        <v>6888.80033408857</v>
      </c>
      <c r="G80" s="41" t="n">
        <f aca="false">'Monthly Viewing Forecast'!G60*'Title Inputs'!$E$33</f>
        <v>6007.03389132523</v>
      </c>
      <c r="H80" s="41" t="n">
        <f aca="false">'Monthly Viewing Forecast'!H60*'Title Inputs'!$E$33</f>
        <v>5238.1335532356</v>
      </c>
      <c r="I80" s="41" t="n">
        <f aca="false">'Monthly Viewing Forecast'!I60*'Title Inputs'!$E$33</f>
        <v>4567.65245842145</v>
      </c>
      <c r="J80" s="41" t="n">
        <f aca="false">'Monthly Viewing Forecast'!J60*'Title Inputs'!$E$33</f>
        <v>3982.9929437435</v>
      </c>
      <c r="K80" s="41" t="n">
        <f aca="false">'Monthly Viewing Forecast'!K60*'Title Inputs'!$E$33</f>
        <v>3473.16984694433</v>
      </c>
      <c r="L80" s="41" t="n">
        <f aca="false">'Monthly Viewing Forecast'!L60*'Title Inputs'!$E$33</f>
        <v>3028.60410653546</v>
      </c>
      <c r="M80" s="41" t="n">
        <f aca="false">'Monthly Viewing Forecast'!M60*'Title Inputs'!$E$33</f>
        <v>2640.94278089892</v>
      </c>
      <c r="N80" s="41" t="n">
        <f aca="false">'Monthly Viewing Forecast'!N60*'Title Inputs'!$E$33</f>
        <v>2302.90210494386</v>
      </c>
      <c r="O80" s="41" t="n">
        <f aca="false">'Monthly Viewing Forecast'!O60*'Title Inputs'!$E$33</f>
        <v>2008.13063551104</v>
      </c>
      <c r="P80" s="41" t="n">
        <f aca="false">'Monthly Viewing Forecast'!P60*'Title Inputs'!$E$33</f>
        <v>1751.08991416563</v>
      </c>
      <c r="Q80" s="41" t="n">
        <f aca="false">'Monthly Viewing Forecast'!Q60*'Title Inputs'!$E$33</f>
        <v>1526.95040515243</v>
      </c>
      <c r="R80" s="41" t="n">
        <f aca="false">'Monthly Viewing Forecast'!R60*'Title Inputs'!$E$33</f>
        <v>1331.50075329292</v>
      </c>
      <c r="S80" s="41" t="n">
        <f aca="false">'Monthly Viewing Forecast'!S60*'Title Inputs'!$E$33</f>
        <v>1161.06865687143</v>
      </c>
      <c r="T80" s="41" t="n">
        <f aca="false">'Monthly Viewing Forecast'!T60*'Title Inputs'!$E$33</f>
        <v>1012.45186879188</v>
      </c>
      <c r="U80" s="41" t="n">
        <f aca="false">'Monthly Viewing Forecast'!U60*'Title Inputs'!$E$33</f>
        <v>882.858029586522</v>
      </c>
      <c r="V80" s="41" t="n">
        <f aca="false">'Monthly Viewing Forecast'!V60*'Title Inputs'!$E$33</f>
        <v>769.852201799447</v>
      </c>
      <c r="W80" s="41" t="n">
        <f aca="false">'Monthly Viewing Forecast'!W60*'Title Inputs'!$E$33</f>
        <v>671.311119969118</v>
      </c>
      <c r="X80" s="41" t="n">
        <f aca="false">'Monthly Viewing Forecast'!X60*'Title Inputs'!$E$33</f>
        <v>585.383296613071</v>
      </c>
      <c r="Y80" s="41" t="n">
        <f aca="false">'Monthly Viewing Forecast'!Y60*'Title Inputs'!$E$33</f>
        <v>510.454234646598</v>
      </c>
      <c r="Z80" s="41" t="n">
        <f aca="false">'Monthly Viewing Forecast'!Z60*'Title Inputs'!$E$33</f>
        <v>445.116092611833</v>
      </c>
      <c r="AA80" s="41" t="n">
        <f aca="false">'Monthly Viewing Forecast'!AA60*'Title Inputs'!$E$33</f>
        <v>388.141232757518</v>
      </c>
      <c r="AB80" s="41" t="n">
        <f aca="false">'Monthly Viewing Forecast'!AB60*'Title Inputs'!$E$33</f>
        <v>338.459154964556</v>
      </c>
    </row>
    <row r="81" customFormat="false" ht="15" hidden="false" customHeight="false" outlineLevel="0" collapsed="false">
      <c r="A81" s="14"/>
      <c r="B81" s="9"/>
      <c r="C81" s="8" t="s">
        <v>216</v>
      </c>
      <c r="D81" s="34" t="n">
        <f aca="false">SUM(E81:AB81)</f>
        <v>362481.47</v>
      </c>
      <c r="E81" s="34" t="n">
        <f aca="false">E76+E77-E78-E79-E80</f>
        <v>-33388.4704052304</v>
      </c>
      <c r="F81" s="34" t="n">
        <f aca="false">F76+F77-F78-F79-F80</f>
        <v>33957.2538066391</v>
      </c>
      <c r="G81" s="34" t="n">
        <f aca="false">G76+G77-G78-G79-G80</f>
        <v>39410.7253193893</v>
      </c>
      <c r="H81" s="34" t="n">
        <f aca="false">H76+H77-H78-H79-H80</f>
        <v>36830.1524785075</v>
      </c>
      <c r="I81" s="34" t="n">
        <f aca="false">I76+I77-I78-I79-I80</f>
        <v>39091.8929612585</v>
      </c>
      <c r="J81" s="34" t="n">
        <f aca="false">J76+J77-J78-J79-J80</f>
        <v>34088.1306622174</v>
      </c>
      <c r="K81" s="34" t="n">
        <f aca="false">K76+K77-K78-K79-K80</f>
        <v>29724.8499374536</v>
      </c>
      <c r="L81" s="34" t="n">
        <f aca="false">L76+L77-L78-L79-L80</f>
        <v>25920.0691454595</v>
      </c>
      <c r="M81" s="34" t="n">
        <f aca="false">M76+M77-M78-M79-M80</f>
        <v>22602.3002948407</v>
      </c>
      <c r="N81" s="34" t="n">
        <f aca="false">N76+N77-N78-N79-N80</f>
        <v>19709.2058571011</v>
      </c>
      <c r="O81" s="34" t="n">
        <f aca="false">O76+O77-O78-O79-O80</f>
        <v>17186.4275073922</v>
      </c>
      <c r="P81" s="34" t="n">
        <f aca="false">P76+P77-P78-P79-P80</f>
        <v>14986.564786446</v>
      </c>
      <c r="Q81" s="34" t="n">
        <f aca="false">Q76+Q77-Q78-Q79-Q80</f>
        <v>13068.2844937809</v>
      </c>
      <c r="R81" s="34" t="n">
        <f aca="false">R76+R77-R78-R79-R80</f>
        <v>11395.5440785769</v>
      </c>
      <c r="S81" s="34" t="n">
        <f aca="false">S76+S77-S78-S79-S80</f>
        <v>9936.91443651908</v>
      </c>
      <c r="T81" s="34" t="n">
        <f aca="false">T76+T77-T78-T79-T80</f>
        <v>8664.98938864464</v>
      </c>
      <c r="U81" s="34" t="n">
        <f aca="false">U76+U77-U78-U79-U80</f>
        <v>7555.87074689812</v>
      </c>
      <c r="V81" s="34" t="n">
        <f aca="false">V76+V77-V78-V79-V80</f>
        <v>6588.71929129516</v>
      </c>
      <c r="W81" s="34" t="n">
        <f aca="false">W76+W77-W78-W79-W80</f>
        <v>5745.36322200938</v>
      </c>
      <c r="X81" s="34" t="n">
        <f aca="false">X76+X77-X78-X79-X80</f>
        <v>5009.95672959218</v>
      </c>
      <c r="Y81" s="34" t="n">
        <f aca="false">Y76+Y77-Y78-Y79-Y80</f>
        <v>4368.68226820438</v>
      </c>
      <c r="Z81" s="34" t="n">
        <f aca="false">Z76+Z77-Z78-Z79-Z80</f>
        <v>3809.49093787422</v>
      </c>
      <c r="AA81" s="34" t="n">
        <f aca="false">AA76+AA77-AA78-AA79-AA80</f>
        <v>3321.87609782632</v>
      </c>
      <c r="AB81" s="34" t="n">
        <f aca="false">AB76+AB77-AB78-AB79-AB80</f>
        <v>2896.67595730455</v>
      </c>
    </row>
    <row r="83" customFormat="false" ht="15" hidden="false" customHeight="false" outlineLevel="0" collapsed="false">
      <c r="A83" s="14" t="s">
        <v>208</v>
      </c>
      <c r="B83" s="8" t="s">
        <v>125</v>
      </c>
      <c r="C83" s="9" t="s">
        <v>213</v>
      </c>
      <c r="D83" s="34" t="n">
        <f aca="false">SUM(E83:AB83)</f>
        <v>224027.9142255</v>
      </c>
      <c r="E83" s="41" t="n">
        <f aca="false">'Monthly Viewing Forecast'!E68*Scenarios!$F$36</f>
        <v>32227.2565459495</v>
      </c>
      <c r="F83" s="41" t="n">
        <f aca="false">'Monthly Viewing Forecast'!F68*Scenarios!$F$36</f>
        <v>27715.4406295166</v>
      </c>
      <c r="G83" s="41" t="n">
        <f aca="false">'Monthly Viewing Forecast'!G68*Scenarios!$F$36</f>
        <v>23835.2789413843</v>
      </c>
      <c r="H83" s="41" t="n">
        <f aca="false">'Monthly Viewing Forecast'!H68*Scenarios!$F$36</f>
        <v>20498.3398895905</v>
      </c>
      <c r="I83" s="41" t="n">
        <f aca="false">'Monthly Viewing Forecast'!I68*Scenarios!$F$36</f>
        <v>17628.5723050478</v>
      </c>
      <c r="J83" s="41" t="n">
        <f aca="false">'Monthly Viewing Forecast'!J68*Scenarios!$F$36</f>
        <v>15160.5721823411</v>
      </c>
      <c r="K83" s="41" t="n">
        <f aca="false">'Monthly Viewing Forecast'!K68*Scenarios!$F$36</f>
        <v>13038.0920768134</v>
      </c>
      <c r="L83" s="41" t="n">
        <f aca="false">'Monthly Viewing Forecast'!L68*Scenarios!$F$36</f>
        <v>11212.7591860595</v>
      </c>
      <c r="M83" s="41" t="n">
        <f aca="false">'Monthly Viewing Forecast'!M68*Scenarios!$F$36</f>
        <v>9642.97290001116</v>
      </c>
      <c r="N83" s="41" t="n">
        <f aca="false">'Monthly Viewing Forecast'!N68*Scenarios!$F$36</f>
        <v>8292.9566940096</v>
      </c>
      <c r="O83" s="41" t="n">
        <f aca="false">'Monthly Viewing Forecast'!O68*Scenarios!$F$36</f>
        <v>7131.94275684826</v>
      </c>
      <c r="P83" s="41" t="n">
        <f aca="false">'Monthly Viewing Forecast'!P68*Scenarios!$F$36</f>
        <v>6133.4707708895</v>
      </c>
      <c r="Q83" s="41" t="n">
        <f aca="false">'Monthly Viewing Forecast'!Q68*Scenarios!$F$36</f>
        <v>5274.78486296497</v>
      </c>
      <c r="R83" s="41" t="n">
        <f aca="false">'Monthly Viewing Forecast'!R68*Scenarios!$F$36</f>
        <v>4536.31498214988</v>
      </c>
      <c r="S83" s="41" t="n">
        <f aca="false">'Monthly Viewing Forecast'!S68*Scenarios!$F$36</f>
        <v>3901.23088464889</v>
      </c>
      <c r="T83" s="41" t="n">
        <f aca="false">'Monthly Viewing Forecast'!T68*Scenarios!$F$36</f>
        <v>3355.05856079805</v>
      </c>
      <c r="U83" s="41" t="n">
        <f aca="false">'Monthly Viewing Forecast'!U68*Scenarios!$F$36</f>
        <v>2885.35036228632</v>
      </c>
      <c r="V83" s="41" t="n">
        <f aca="false">'Monthly Viewing Forecast'!V68*Scenarios!$F$36</f>
        <v>2481.40131156624</v>
      </c>
      <c r="W83" s="41" t="n">
        <f aca="false">'Monthly Viewing Forecast'!W68*Scenarios!$F$36</f>
        <v>2134.00512794696</v>
      </c>
      <c r="X83" s="41" t="n">
        <f aca="false">'Monthly Viewing Forecast'!X68*Scenarios!$F$36</f>
        <v>1835.24441003439</v>
      </c>
      <c r="Y83" s="41" t="n">
        <f aca="false">'Monthly Viewing Forecast'!Y68*Scenarios!$F$36</f>
        <v>1578.31019262957</v>
      </c>
      <c r="Z83" s="41" t="n">
        <f aca="false">'Monthly Viewing Forecast'!Z68*Scenarios!$F$36</f>
        <v>1357.34676566143</v>
      </c>
      <c r="AA83" s="41" t="n">
        <f aca="false">'Monthly Viewing Forecast'!AA68*Scenarios!$F$36</f>
        <v>1167.31821846883</v>
      </c>
      <c r="AB83" s="41" t="n">
        <f aca="false">'Monthly Viewing Forecast'!AB68*Scenarios!$F$36</f>
        <v>1003.8936678832</v>
      </c>
    </row>
    <row r="84" customFormat="false" ht="15" hidden="false" customHeight="false" outlineLevel="0" collapsed="false">
      <c r="A84" s="14"/>
      <c r="B84" s="9"/>
      <c r="C84" s="9" t="s">
        <v>214</v>
      </c>
      <c r="D84" s="34" t="n">
        <f aca="false">SUM(E84:AB84)</f>
        <v>41563.62045</v>
      </c>
      <c r="E84" s="41" t="n">
        <f aca="false">'Monthly Viewing Forecast'!E66*Scenarios!$F$36*'Title Inputs'!$F$34</f>
        <v>5979.08284711494</v>
      </c>
      <c r="F84" s="41" t="n">
        <f aca="false">'Monthly Viewing Forecast'!F66*Scenarios!$F$36*'Title Inputs'!$F$34</f>
        <v>5142.01124851885</v>
      </c>
      <c r="G84" s="41" t="n">
        <f aca="false">'Monthly Viewing Forecast'!G66*Scenarios!$F$36*'Title Inputs'!$F$34</f>
        <v>4422.12967372621</v>
      </c>
      <c r="H84" s="41" t="n">
        <f aca="false">'Monthly Viewing Forecast'!H66*Scenarios!$F$36*'Title Inputs'!$F$34</f>
        <v>3803.03151940454</v>
      </c>
      <c r="I84" s="41" t="n">
        <f aca="false">'Monthly Viewing Forecast'!I66*Scenarios!$F$36*'Title Inputs'!$F$34</f>
        <v>3270.60710668791</v>
      </c>
      <c r="J84" s="41" t="n">
        <f aca="false">'Monthly Viewing Forecast'!J66*Scenarios!$F$36*'Title Inputs'!$F$34</f>
        <v>2812.7221117516</v>
      </c>
      <c r="K84" s="41" t="n">
        <f aca="false">'Monthly Viewing Forecast'!K66*Scenarios!$F$36*'Title Inputs'!$F$34</f>
        <v>2418.94101610638</v>
      </c>
      <c r="L84" s="41" t="n">
        <f aca="false">'Monthly Viewing Forecast'!L66*Scenarios!$F$36*'Title Inputs'!$F$34</f>
        <v>2080.28927385148</v>
      </c>
      <c r="M84" s="41" t="n">
        <f aca="false">'Monthly Viewing Forecast'!M66*Scenarios!$F$36*'Title Inputs'!$F$34</f>
        <v>1789.04877551228</v>
      </c>
      <c r="N84" s="41" t="n">
        <f aca="false">'Monthly Viewing Forecast'!N66*Scenarios!$F$36*'Title Inputs'!$F$34</f>
        <v>1538.58194694056</v>
      </c>
      <c r="O84" s="41" t="n">
        <f aca="false">'Monthly Viewing Forecast'!O66*Scenarios!$F$36*'Title Inputs'!$F$34</f>
        <v>1323.18047436888</v>
      </c>
      <c r="P84" s="41" t="n">
        <f aca="false">'Monthly Viewing Forecast'!P66*Scenarios!$F$36*'Title Inputs'!$F$34</f>
        <v>1137.93520795724</v>
      </c>
      <c r="Q84" s="41" t="n">
        <f aca="false">'Monthly Viewing Forecast'!Q66*Scenarios!$F$36*'Title Inputs'!$F$34</f>
        <v>978.624278843223</v>
      </c>
      <c r="R84" s="41" t="n">
        <f aca="false">'Monthly Viewing Forecast'!R66*Scenarios!$F$36*'Title Inputs'!$F$34</f>
        <v>841.616879805172</v>
      </c>
      <c r="S84" s="41" t="n">
        <f aca="false">'Monthly Viewing Forecast'!S66*Scenarios!$F$36*'Title Inputs'!$F$34</f>
        <v>723.790516632447</v>
      </c>
      <c r="T84" s="41" t="n">
        <f aca="false">'Monthly Viewing Forecast'!T66*Scenarios!$F$36*'Title Inputs'!$F$34</f>
        <v>622.459844303905</v>
      </c>
      <c r="U84" s="41" t="n">
        <f aca="false">'Monthly Viewing Forecast'!U66*Scenarios!$F$36*'Title Inputs'!$F$34</f>
        <v>535.315466101358</v>
      </c>
      <c r="V84" s="41" t="n">
        <f aca="false">'Monthly Viewing Forecast'!V66*Scenarios!$F$36*'Title Inputs'!$F$34</f>
        <v>460.371300847168</v>
      </c>
      <c r="W84" s="41" t="n">
        <f aca="false">'Monthly Viewing Forecast'!W66*Scenarios!$F$36*'Title Inputs'!$F$34</f>
        <v>395.919318728564</v>
      </c>
      <c r="X84" s="41" t="n">
        <f aca="false">'Monthly Viewing Forecast'!X66*Scenarios!$F$36*'Title Inputs'!$F$34</f>
        <v>340.490614106565</v>
      </c>
      <c r="Y84" s="41" t="n">
        <f aca="false">'Monthly Viewing Forecast'!Y66*Scenarios!$F$36*'Title Inputs'!$F$34</f>
        <v>292.821928131646</v>
      </c>
      <c r="Z84" s="41" t="n">
        <f aca="false">'Monthly Viewing Forecast'!Z66*Scenarios!$F$36*'Title Inputs'!$F$34</f>
        <v>251.826858193216</v>
      </c>
      <c r="AA84" s="41" t="n">
        <f aca="false">'Monthly Viewing Forecast'!AA66*Scenarios!$F$36*'Title Inputs'!$F$34</f>
        <v>216.571098046166</v>
      </c>
      <c r="AB84" s="41" t="n">
        <f aca="false">'Monthly Viewing Forecast'!AB66*Scenarios!$F$36*'Title Inputs'!$F$34</f>
        <v>186.251144319702</v>
      </c>
    </row>
    <row r="85" customFormat="false" ht="15" hidden="false" customHeight="false" outlineLevel="0" collapsed="false">
      <c r="A85" s="14"/>
      <c r="B85" s="9"/>
      <c r="C85" s="9" t="s">
        <v>170</v>
      </c>
      <c r="D85" s="34" t="n">
        <f aca="false">SUM(E85:AB85)</f>
        <v>72000</v>
      </c>
      <c r="E85" s="41" t="n">
        <f aca="false">Scenarios!$F$37*INDEX(Assumptions!$C$23:$C$26,E$4)</f>
        <v>39600</v>
      </c>
      <c r="F85" s="41" t="n">
        <f aca="false">Scenarios!$F$37*INDEX(Assumptions!$C$23:$C$26,F$4)</f>
        <v>18000</v>
      </c>
      <c r="G85" s="41" t="n">
        <f aca="false">Scenarios!$F$37*INDEX(Assumptions!$C$23:$C$26,G$4)</f>
        <v>8640</v>
      </c>
      <c r="H85" s="41" t="n">
        <f aca="false">Scenarios!$F$37*INDEX(Assumptions!$C$23:$C$26,H$4)</f>
        <v>5760</v>
      </c>
      <c r="I85" s="41" t="n">
        <f aca="false">0</f>
        <v>0</v>
      </c>
      <c r="J85" s="41" t="n">
        <f aca="false">0</f>
        <v>0</v>
      </c>
      <c r="K85" s="41" t="n">
        <f aca="false">0</f>
        <v>0</v>
      </c>
      <c r="L85" s="41" t="n">
        <f aca="false">0</f>
        <v>0</v>
      </c>
      <c r="M85" s="41" t="n">
        <f aca="false">0</f>
        <v>0</v>
      </c>
      <c r="N85" s="41" t="n">
        <f aca="false">0</f>
        <v>0</v>
      </c>
      <c r="O85" s="41" t="n">
        <f aca="false">0</f>
        <v>0</v>
      </c>
      <c r="P85" s="41" t="n">
        <f aca="false">0</f>
        <v>0</v>
      </c>
      <c r="Q85" s="41" t="n">
        <f aca="false">0</f>
        <v>0</v>
      </c>
      <c r="R85" s="41" t="n">
        <f aca="false">0</f>
        <v>0</v>
      </c>
      <c r="S85" s="41" t="n">
        <f aca="false">0</f>
        <v>0</v>
      </c>
      <c r="T85" s="41" t="n">
        <f aca="false">0</f>
        <v>0</v>
      </c>
      <c r="U85" s="41" t="n">
        <f aca="false">0</f>
        <v>0</v>
      </c>
      <c r="V85" s="41" t="n">
        <f aca="false">0</f>
        <v>0</v>
      </c>
      <c r="W85" s="41" t="n">
        <f aca="false">0</f>
        <v>0</v>
      </c>
      <c r="X85" s="41" t="n">
        <f aca="false">0</f>
        <v>0</v>
      </c>
      <c r="Y85" s="41" t="n">
        <f aca="false">0</f>
        <v>0</v>
      </c>
      <c r="Z85" s="41" t="n">
        <f aca="false">0</f>
        <v>0</v>
      </c>
      <c r="AA85" s="41" t="n">
        <f aca="false">0</f>
        <v>0</v>
      </c>
      <c r="AB85" s="41" t="n">
        <f aca="false">0</f>
        <v>0</v>
      </c>
    </row>
    <row r="86" customFormat="false" ht="15" hidden="false" customHeight="false" outlineLevel="0" collapsed="false">
      <c r="A86" s="14"/>
      <c r="B86" s="9"/>
      <c r="C86" s="9" t="s">
        <v>171</v>
      </c>
      <c r="D86" s="34" t="n">
        <f aca="false">SUM(E86:AB86)</f>
        <v>44000</v>
      </c>
      <c r="E86" s="41" t="n">
        <f aca="false">'Title Inputs'!$F$32</f>
        <v>44000</v>
      </c>
      <c r="F86" s="41" t="n">
        <f aca="false">0</f>
        <v>0</v>
      </c>
      <c r="G86" s="41" t="n">
        <f aca="false">0</f>
        <v>0</v>
      </c>
      <c r="H86" s="41" t="n">
        <f aca="false">0</f>
        <v>0</v>
      </c>
      <c r="I86" s="41" t="n">
        <f aca="false">0</f>
        <v>0</v>
      </c>
      <c r="J86" s="41" t="n">
        <f aca="false">0</f>
        <v>0</v>
      </c>
      <c r="K86" s="41" t="n">
        <f aca="false">0</f>
        <v>0</v>
      </c>
      <c r="L86" s="41" t="n">
        <f aca="false">0</f>
        <v>0</v>
      </c>
      <c r="M86" s="41" t="n">
        <f aca="false">0</f>
        <v>0</v>
      </c>
      <c r="N86" s="41" t="n">
        <f aca="false">0</f>
        <v>0</v>
      </c>
      <c r="O86" s="41" t="n">
        <f aca="false">0</f>
        <v>0</v>
      </c>
      <c r="P86" s="41" t="n">
        <f aca="false">0</f>
        <v>0</v>
      </c>
      <c r="Q86" s="41" t="n">
        <f aca="false">0</f>
        <v>0</v>
      </c>
      <c r="R86" s="41" t="n">
        <f aca="false">0</f>
        <v>0</v>
      </c>
      <c r="S86" s="41" t="n">
        <f aca="false">0</f>
        <v>0</v>
      </c>
      <c r="T86" s="41" t="n">
        <f aca="false">0</f>
        <v>0</v>
      </c>
      <c r="U86" s="41" t="n">
        <f aca="false">0</f>
        <v>0</v>
      </c>
      <c r="V86" s="41" t="n">
        <f aca="false">0</f>
        <v>0</v>
      </c>
      <c r="W86" s="41" t="n">
        <f aca="false">0</f>
        <v>0</v>
      </c>
      <c r="X86" s="41" t="n">
        <f aca="false">0</f>
        <v>0</v>
      </c>
      <c r="Y86" s="41" t="n">
        <f aca="false">0</f>
        <v>0</v>
      </c>
      <c r="Z86" s="41" t="n">
        <f aca="false">0</f>
        <v>0</v>
      </c>
      <c r="AA86" s="41" t="n">
        <f aca="false">0</f>
        <v>0</v>
      </c>
      <c r="AB86" s="41" t="n">
        <f aca="false">0</f>
        <v>0</v>
      </c>
    </row>
    <row r="87" customFormat="false" ht="15" hidden="false" customHeight="false" outlineLevel="0" collapsed="false">
      <c r="A87" s="14"/>
      <c r="B87" s="9"/>
      <c r="C87" s="9" t="s">
        <v>215</v>
      </c>
      <c r="D87" s="34" t="n">
        <f aca="false">SUM(E87:AB87)</f>
        <v>37338.477</v>
      </c>
      <c r="E87" s="41" t="n">
        <f aca="false">'Monthly Viewing Forecast'!E66*'Title Inputs'!$F$33</f>
        <v>5371.28009906307</v>
      </c>
      <c r="F87" s="41" t="n">
        <f aca="false">'Monthly Viewing Forecast'!F66*'Title Inputs'!$F$33</f>
        <v>4619.30088519424</v>
      </c>
      <c r="G87" s="41" t="n">
        <f aca="false">'Monthly Viewing Forecast'!G66*'Title Inputs'!$F$33</f>
        <v>3972.59876126705</v>
      </c>
      <c r="H87" s="41" t="n">
        <f aca="false">'Monthly Viewing Forecast'!H66*'Title Inputs'!$F$33</f>
        <v>3416.43493468966</v>
      </c>
      <c r="I87" s="41" t="n">
        <f aca="false">'Monthly Viewing Forecast'!I66*'Title Inputs'!$F$33</f>
        <v>2938.13404383311</v>
      </c>
      <c r="J87" s="41" t="n">
        <f aca="false">'Monthly Viewing Forecast'!J66*'Title Inputs'!$F$33</f>
        <v>2526.79527769647</v>
      </c>
      <c r="K87" s="41" t="n">
        <f aca="false">'Monthly Viewing Forecast'!K66*'Title Inputs'!$F$33</f>
        <v>2173.04393881897</v>
      </c>
      <c r="L87" s="41" t="n">
        <f aca="false">'Monthly Viewing Forecast'!L66*'Title Inputs'!$F$33</f>
        <v>1868.81778738431</v>
      </c>
      <c r="M87" s="41" t="n">
        <f aca="false">'Monthly Viewing Forecast'!M66*'Title Inputs'!$F$33</f>
        <v>1607.18329715051</v>
      </c>
      <c r="N87" s="41" t="n">
        <f aca="false">'Monthly Viewing Forecast'!N66*'Title Inputs'!$F$33</f>
        <v>1382.17763554944</v>
      </c>
      <c r="O87" s="41" t="n">
        <f aca="false">'Monthly Viewing Forecast'!O66*'Title Inputs'!$F$33</f>
        <v>1188.67276657252</v>
      </c>
      <c r="P87" s="41" t="n">
        <f aca="false">'Monthly Viewing Forecast'!P66*'Title Inputs'!$F$33</f>
        <v>1022.25857925236</v>
      </c>
      <c r="Q87" s="41" t="n">
        <f aca="false">'Monthly Viewing Forecast'!Q66*'Title Inputs'!$F$33</f>
        <v>879.142378157032</v>
      </c>
      <c r="R87" s="41" t="n">
        <f aca="false">'Monthly Viewing Forecast'!R66*'Title Inputs'!$F$33</f>
        <v>756.062445215048</v>
      </c>
      <c r="S87" s="41" t="n">
        <f aca="false">'Monthly Viewing Forecast'!S66*'Title Inputs'!$F$33</f>
        <v>650.213702884941</v>
      </c>
      <c r="T87" s="41" t="n">
        <f aca="false">'Monthly Viewing Forecast'!T66*'Title Inputs'!$F$33</f>
        <v>559.183784481049</v>
      </c>
      <c r="U87" s="41" t="n">
        <f aca="false">'Monthly Viewing Forecast'!U66*'Title Inputs'!$F$33</f>
        <v>480.898054653702</v>
      </c>
      <c r="V87" s="41" t="n">
        <f aca="false">'Monthly Viewing Forecast'!V66*'Title Inputs'!$F$33</f>
        <v>413.572327002184</v>
      </c>
      <c r="W87" s="41" t="n">
        <f aca="false">'Monthly Viewing Forecast'!W66*'Title Inputs'!$F$33</f>
        <v>355.672201221878</v>
      </c>
      <c r="X87" s="41" t="n">
        <f aca="false">'Monthly Viewing Forecast'!X66*'Title Inputs'!$F$33</f>
        <v>305.878093050815</v>
      </c>
      <c r="Y87" s="41" t="n">
        <f aca="false">'Monthly Viewing Forecast'!Y66*'Title Inputs'!$F$33</f>
        <v>263.055160023701</v>
      </c>
      <c r="Z87" s="41" t="n">
        <f aca="false">'Monthly Viewing Forecast'!Z66*'Title Inputs'!$F$33</f>
        <v>226.227437620383</v>
      </c>
      <c r="AA87" s="41" t="n">
        <f aca="false">'Monthly Viewing Forecast'!AA66*'Title Inputs'!$F$33</f>
        <v>194.555596353529</v>
      </c>
      <c r="AB87" s="41" t="n">
        <f aca="false">'Monthly Viewing Forecast'!AB66*'Title Inputs'!$F$33</f>
        <v>167.317812864035</v>
      </c>
    </row>
    <row r="88" customFormat="false" ht="15" hidden="false" customHeight="false" outlineLevel="0" collapsed="false">
      <c r="A88" s="14"/>
      <c r="B88" s="9"/>
      <c r="C88" s="8" t="s">
        <v>216</v>
      </c>
      <c r="D88" s="34" t="n">
        <f aca="false">SUM(E88:AB88)</f>
        <v>112253.0576755</v>
      </c>
      <c r="E88" s="34" t="n">
        <f aca="false">E83+E84-E85-E86-E87</f>
        <v>-50764.9407059986</v>
      </c>
      <c r="F88" s="34" t="n">
        <f aca="false">F83+F84-F85-F86-F87</f>
        <v>10238.1509928412</v>
      </c>
      <c r="G88" s="34" t="n">
        <f aca="false">G83+G84-G85-G86-G87</f>
        <v>15644.8098538434</v>
      </c>
      <c r="H88" s="34" t="n">
        <f aca="false">H83+H84-H85-H86-H87</f>
        <v>15124.9364743054</v>
      </c>
      <c r="I88" s="34" t="n">
        <f aca="false">I83+I84-I85-I86-I87</f>
        <v>17961.0453679026</v>
      </c>
      <c r="J88" s="34" t="n">
        <f aca="false">J83+J84-J85-J86-J87</f>
        <v>15446.4990163962</v>
      </c>
      <c r="K88" s="34" t="n">
        <f aca="false">K83+K84-K85-K86-K87</f>
        <v>13283.9891541008</v>
      </c>
      <c r="L88" s="34" t="n">
        <f aca="false">L83+L84-L85-L86-L87</f>
        <v>11424.2306725267</v>
      </c>
      <c r="M88" s="34" t="n">
        <f aca="false">M83+M84-M85-M86-M87</f>
        <v>9824.83837837293</v>
      </c>
      <c r="N88" s="34" t="n">
        <f aca="false">N83+N84-N85-N86-N87</f>
        <v>8449.36100540072</v>
      </c>
      <c r="O88" s="34" t="n">
        <f aca="false">O83+O84-O85-O86-O87</f>
        <v>7266.45046464462</v>
      </c>
      <c r="P88" s="34" t="n">
        <f aca="false">P83+P84-P85-P86-P87</f>
        <v>6249.14739959437</v>
      </c>
      <c r="Q88" s="34" t="n">
        <f aca="false">Q83+Q84-Q85-Q86-Q87</f>
        <v>5374.26676365116</v>
      </c>
      <c r="R88" s="34" t="n">
        <f aca="false">R83+R84-R85-R86-R87</f>
        <v>4621.86941674</v>
      </c>
      <c r="S88" s="34" t="n">
        <f aca="false">S83+S84-S85-S86-S87</f>
        <v>3974.8076983964</v>
      </c>
      <c r="T88" s="34" t="n">
        <f aca="false">T83+T84-T85-T86-T87</f>
        <v>3418.3346206209</v>
      </c>
      <c r="U88" s="34" t="n">
        <f aca="false">U83+U84-U85-U86-U87</f>
        <v>2939.76777373398</v>
      </c>
      <c r="V88" s="34" t="n">
        <f aca="false">V83+V84-V85-V86-V87</f>
        <v>2528.20028541122</v>
      </c>
      <c r="W88" s="34" t="n">
        <f aca="false">W83+W84-W85-W86-W87</f>
        <v>2174.25224545365</v>
      </c>
      <c r="X88" s="34" t="n">
        <f aca="false">X83+X84-X85-X86-X87</f>
        <v>1869.85693109014</v>
      </c>
      <c r="Y88" s="34" t="n">
        <f aca="false">Y83+Y84-Y85-Y86-Y87</f>
        <v>1608.07696073752</v>
      </c>
      <c r="Z88" s="34" t="n">
        <f aca="false">Z83+Z84-Z85-Z86-Z87</f>
        <v>1382.94618623427</v>
      </c>
      <c r="AA88" s="34" t="n">
        <f aca="false">AA83+AA84-AA85-AA86-AA87</f>
        <v>1189.33372016147</v>
      </c>
      <c r="AB88" s="34" t="n">
        <f aca="false">AB83+AB84-AB85-AB86-AB87</f>
        <v>1022.82699933886</v>
      </c>
    </row>
    <row r="90" customFormat="false" ht="15" hidden="false" customHeight="false" outlineLevel="0" collapsed="false">
      <c r="A90" s="14" t="s">
        <v>208</v>
      </c>
      <c r="B90" s="8" t="s">
        <v>126</v>
      </c>
      <c r="C90" s="9" t="s">
        <v>213</v>
      </c>
      <c r="D90" s="34" t="n">
        <f aca="false">SUM(E90:AB90)</f>
        <v>59811.71625</v>
      </c>
      <c r="E90" s="41" t="n">
        <f aca="false">'Monthly Viewing Forecast'!E74*Scenarios!$G$36</f>
        <v>9157.02901852559</v>
      </c>
      <c r="F90" s="41" t="n">
        <f aca="false">'Monthly Viewing Forecast'!F74*Scenarios!$G$36</f>
        <v>7783.47466574675</v>
      </c>
      <c r="G90" s="41" t="n">
        <f aca="false">'Monthly Viewing Forecast'!G74*Scenarios!$G$36</f>
        <v>6615.95346588474</v>
      </c>
      <c r="H90" s="41" t="n">
        <f aca="false">'Monthly Viewing Forecast'!H74*Scenarios!$G$36</f>
        <v>5623.56044600203</v>
      </c>
      <c r="I90" s="41" t="n">
        <f aca="false">'Monthly Viewing Forecast'!I74*Scenarios!$G$36</f>
        <v>4780.02637910173</v>
      </c>
      <c r="J90" s="41" t="n">
        <f aca="false">'Monthly Viewing Forecast'!J74*Scenarios!$G$36</f>
        <v>4063.02242223647</v>
      </c>
      <c r="K90" s="41" t="n">
        <f aca="false">'Monthly Viewing Forecast'!K74*Scenarios!$G$36</f>
        <v>3453.569058901</v>
      </c>
      <c r="L90" s="41" t="n">
        <f aca="false">'Monthly Viewing Forecast'!L74*Scenarios!$G$36</f>
        <v>2935.53370006585</v>
      </c>
      <c r="M90" s="41" t="n">
        <f aca="false">'Monthly Viewing Forecast'!M74*Scenarios!$G$36</f>
        <v>2495.20364505597</v>
      </c>
      <c r="N90" s="41" t="n">
        <f aca="false">'Monthly Viewing Forecast'!N74*Scenarios!$G$36</f>
        <v>2120.92309829757</v>
      </c>
      <c r="O90" s="41" t="n">
        <f aca="false">'Monthly Viewing Forecast'!O74*Scenarios!$G$36</f>
        <v>1802.78463355294</v>
      </c>
      <c r="P90" s="41" t="n">
        <f aca="false">'Monthly Viewing Forecast'!P74*Scenarios!$G$36</f>
        <v>1532.36693852</v>
      </c>
      <c r="Q90" s="41" t="n">
        <f aca="false">'Monthly Viewing Forecast'!Q74*Scenarios!$G$36</f>
        <v>1302.511897742</v>
      </c>
      <c r="R90" s="41" t="n">
        <f aca="false">'Monthly Viewing Forecast'!R74*Scenarios!$G$36</f>
        <v>1107.1351130807</v>
      </c>
      <c r="S90" s="41" t="n">
        <f aca="false">'Monthly Viewing Forecast'!S74*Scenarios!$G$36</f>
        <v>941.064846118593</v>
      </c>
      <c r="T90" s="41" t="n">
        <f aca="false">'Monthly Viewing Forecast'!T74*Scenarios!$G$36</f>
        <v>799.905119200804</v>
      </c>
      <c r="U90" s="41" t="n">
        <f aca="false">'Monthly Viewing Forecast'!U74*Scenarios!$G$36</f>
        <v>679.919351320684</v>
      </c>
      <c r="V90" s="41" t="n">
        <f aca="false">'Monthly Viewing Forecast'!V74*Scenarios!$G$36</f>
        <v>577.931448622581</v>
      </c>
      <c r="W90" s="41" t="n">
        <f aca="false">'Monthly Viewing Forecast'!W74*Scenarios!$G$36</f>
        <v>491.241731329194</v>
      </c>
      <c r="X90" s="41" t="n">
        <f aca="false">'Monthly Viewing Forecast'!X74*Scenarios!$G$36</f>
        <v>417.555471629815</v>
      </c>
      <c r="Y90" s="41" t="n">
        <f aca="false">'Monthly Viewing Forecast'!Y74*Scenarios!$G$36</f>
        <v>354.922150885343</v>
      </c>
      <c r="Z90" s="41" t="n">
        <f aca="false">'Monthly Viewing Forecast'!Z74*Scenarios!$G$36</f>
        <v>301.683828252541</v>
      </c>
      <c r="AA90" s="41" t="n">
        <f aca="false">'Monthly Viewing Forecast'!AA74*Scenarios!$G$36</f>
        <v>256.43125401466</v>
      </c>
      <c r="AB90" s="41" t="n">
        <f aca="false">'Monthly Viewing Forecast'!AB74*Scenarios!$G$36</f>
        <v>217.966565912461</v>
      </c>
    </row>
    <row r="91" customFormat="false" ht="15" hidden="false" customHeight="false" outlineLevel="0" collapsed="false">
      <c r="A91" s="14"/>
      <c r="B91" s="9"/>
      <c r="C91" s="9" t="s">
        <v>214</v>
      </c>
      <c r="D91" s="34" t="n">
        <f aca="false">SUM(E91:AB91)</f>
        <v>12269.07</v>
      </c>
      <c r="E91" s="41" t="n">
        <f aca="false">'Monthly Viewing Forecast'!E72*Scenarios!$G$36*'Title Inputs'!$G$34</f>
        <v>1878.36492687705</v>
      </c>
      <c r="F91" s="41" t="n">
        <f aca="false">'Monthly Viewing Forecast'!F72*Scenarios!$G$36*'Title Inputs'!$G$34</f>
        <v>1596.61018784549</v>
      </c>
      <c r="G91" s="41" t="n">
        <f aca="false">'Monthly Viewing Forecast'!G72*Scenarios!$G$36*'Title Inputs'!$G$34</f>
        <v>1357.11865966866</v>
      </c>
      <c r="H91" s="41" t="n">
        <f aca="false">'Monthly Viewing Forecast'!H72*Scenarios!$G$36*'Title Inputs'!$G$34</f>
        <v>1153.55086071837</v>
      </c>
      <c r="I91" s="41" t="n">
        <f aca="false">'Monthly Viewing Forecast'!I72*Scenarios!$G$36*'Title Inputs'!$G$34</f>
        <v>980.51823161061</v>
      </c>
      <c r="J91" s="41" t="n">
        <f aca="false">'Monthly Viewing Forecast'!J72*Scenarios!$G$36*'Title Inputs'!$G$34</f>
        <v>833.440496869019</v>
      </c>
      <c r="K91" s="41" t="n">
        <f aca="false">'Monthly Viewing Forecast'!K72*Scenarios!$G$36*'Title Inputs'!$G$34</f>
        <v>708.424422338666</v>
      </c>
      <c r="L91" s="41" t="n">
        <f aca="false">'Monthly Viewing Forecast'!L72*Scenarios!$G$36*'Title Inputs'!$G$34</f>
        <v>602.160758987866</v>
      </c>
      <c r="M91" s="41" t="n">
        <f aca="false">'Monthly Viewing Forecast'!M72*Scenarios!$G$36*'Title Inputs'!$G$34</f>
        <v>511.836645139686</v>
      </c>
      <c r="N91" s="41" t="n">
        <f aca="false">'Monthly Viewing Forecast'!N72*Scenarios!$G$36*'Title Inputs'!$G$34</f>
        <v>435.061148368733</v>
      </c>
      <c r="O91" s="41" t="n">
        <f aca="false">'Monthly Viewing Forecast'!O72*Scenarios!$G$36*'Title Inputs'!$G$34</f>
        <v>369.801976113423</v>
      </c>
      <c r="P91" s="41" t="n">
        <f aca="false">'Monthly Viewing Forecast'!P72*Scenarios!$G$36*'Title Inputs'!$G$34</f>
        <v>314.33167969641</v>
      </c>
      <c r="Q91" s="41" t="n">
        <f aca="false">'Monthly Viewing Forecast'!Q72*Scenarios!$G$36*'Title Inputs'!$G$34</f>
        <v>267.181927741948</v>
      </c>
      <c r="R91" s="41" t="n">
        <f aca="false">'Monthly Viewing Forecast'!R72*Scenarios!$G$36*'Title Inputs'!$G$34</f>
        <v>227.104638580656</v>
      </c>
      <c r="S91" s="41" t="n">
        <f aca="false">'Monthly Viewing Forecast'!S72*Scenarios!$G$36*'Title Inputs'!$G$34</f>
        <v>193.038942793558</v>
      </c>
      <c r="T91" s="41" t="n">
        <f aca="false">'Monthly Viewing Forecast'!T72*Scenarios!$G$36*'Title Inputs'!$G$34</f>
        <v>164.083101374524</v>
      </c>
      <c r="U91" s="41" t="n">
        <f aca="false">'Monthly Viewing Forecast'!U72*Scenarios!$G$36*'Title Inputs'!$G$34</f>
        <v>139.470636168345</v>
      </c>
      <c r="V91" s="41" t="n">
        <f aca="false">'Monthly Viewing Forecast'!V72*Scenarios!$G$36*'Title Inputs'!$G$34</f>
        <v>118.550040743094</v>
      </c>
      <c r="W91" s="41" t="n">
        <f aca="false">'Monthly Viewing Forecast'!W72*Scenarios!$G$36*'Title Inputs'!$G$34</f>
        <v>100.767534631629</v>
      </c>
      <c r="X91" s="41" t="n">
        <f aca="false">'Monthly Viewing Forecast'!X72*Scenarios!$G$36*'Title Inputs'!$G$34</f>
        <v>85.6524044368851</v>
      </c>
      <c r="Y91" s="41" t="n">
        <f aca="false">'Monthly Viewing Forecast'!Y72*Scenarios!$G$36*'Title Inputs'!$G$34</f>
        <v>72.8045437713523</v>
      </c>
      <c r="Z91" s="41" t="n">
        <f aca="false">'Monthly Viewing Forecast'!Z72*Scenarios!$G$36*'Title Inputs'!$G$34</f>
        <v>61.8838622056495</v>
      </c>
      <c r="AA91" s="41" t="n">
        <f aca="false">'Monthly Viewing Forecast'!AA72*Scenarios!$G$36*'Title Inputs'!$G$34</f>
        <v>52.601282874802</v>
      </c>
      <c r="AB91" s="41" t="n">
        <f aca="false">'Monthly Viewing Forecast'!AB72*Scenarios!$G$36*'Title Inputs'!$G$34</f>
        <v>44.7110904435817</v>
      </c>
    </row>
    <row r="92" customFormat="false" ht="15" hidden="false" customHeight="false" outlineLevel="0" collapsed="false">
      <c r="A92" s="14"/>
      <c r="B92" s="9"/>
      <c r="C92" s="9" t="s">
        <v>170</v>
      </c>
      <c r="D92" s="34" t="n">
        <f aca="false">SUM(E92:AB92)</f>
        <v>58000</v>
      </c>
      <c r="E92" s="41" t="n">
        <f aca="false">Scenarios!$G$37*INDEX(Assumptions!$C$23:$C$26,E$4)</f>
        <v>31900</v>
      </c>
      <c r="F92" s="41" t="n">
        <f aca="false">Scenarios!$G$37*INDEX(Assumptions!$C$23:$C$26,F$4)</f>
        <v>14500</v>
      </c>
      <c r="G92" s="41" t="n">
        <f aca="false">Scenarios!$G$37*INDEX(Assumptions!$C$23:$C$26,G$4)</f>
        <v>6960</v>
      </c>
      <c r="H92" s="41" t="n">
        <f aca="false">Scenarios!$G$37*INDEX(Assumptions!$C$23:$C$26,H$4)</f>
        <v>4640</v>
      </c>
      <c r="I92" s="41" t="n">
        <f aca="false">0</f>
        <v>0</v>
      </c>
      <c r="J92" s="41" t="n">
        <f aca="false">0</f>
        <v>0</v>
      </c>
      <c r="K92" s="41" t="n">
        <f aca="false">0</f>
        <v>0</v>
      </c>
      <c r="L92" s="41" t="n">
        <f aca="false">0</f>
        <v>0</v>
      </c>
      <c r="M92" s="41" t="n">
        <f aca="false">0</f>
        <v>0</v>
      </c>
      <c r="N92" s="41" t="n">
        <f aca="false">0</f>
        <v>0</v>
      </c>
      <c r="O92" s="41" t="n">
        <f aca="false">0</f>
        <v>0</v>
      </c>
      <c r="P92" s="41" t="n">
        <f aca="false">0</f>
        <v>0</v>
      </c>
      <c r="Q92" s="41" t="n">
        <f aca="false">0</f>
        <v>0</v>
      </c>
      <c r="R92" s="41" t="n">
        <f aca="false">0</f>
        <v>0</v>
      </c>
      <c r="S92" s="41" t="n">
        <f aca="false">0</f>
        <v>0</v>
      </c>
      <c r="T92" s="41" t="n">
        <f aca="false">0</f>
        <v>0</v>
      </c>
      <c r="U92" s="41" t="n">
        <f aca="false">0</f>
        <v>0</v>
      </c>
      <c r="V92" s="41" t="n">
        <f aca="false">0</f>
        <v>0</v>
      </c>
      <c r="W92" s="41" t="n">
        <f aca="false">0</f>
        <v>0</v>
      </c>
      <c r="X92" s="41" t="n">
        <f aca="false">0</f>
        <v>0</v>
      </c>
      <c r="Y92" s="41" t="n">
        <f aca="false">0</f>
        <v>0</v>
      </c>
      <c r="Z92" s="41" t="n">
        <f aca="false">0</f>
        <v>0</v>
      </c>
      <c r="AA92" s="41" t="n">
        <f aca="false">0</f>
        <v>0</v>
      </c>
      <c r="AB92" s="41" t="n">
        <f aca="false">0</f>
        <v>0</v>
      </c>
    </row>
    <row r="93" customFormat="false" ht="15" hidden="false" customHeight="false" outlineLevel="0" collapsed="false">
      <c r="A93" s="14"/>
      <c r="B93" s="9"/>
      <c r="C93" s="9" t="s">
        <v>171</v>
      </c>
      <c r="D93" s="34" t="n">
        <f aca="false">SUM(E93:AB93)</f>
        <v>40000</v>
      </c>
      <c r="E93" s="41" t="n">
        <f aca="false">'Title Inputs'!$G$32</f>
        <v>40000</v>
      </c>
      <c r="F93" s="41" t="n">
        <f aca="false">0</f>
        <v>0</v>
      </c>
      <c r="G93" s="41" t="n">
        <f aca="false">0</f>
        <v>0</v>
      </c>
      <c r="H93" s="41" t="n">
        <f aca="false">0</f>
        <v>0</v>
      </c>
      <c r="I93" s="41" t="n">
        <f aca="false">0</f>
        <v>0</v>
      </c>
      <c r="J93" s="41" t="n">
        <f aca="false">0</f>
        <v>0</v>
      </c>
      <c r="K93" s="41" t="n">
        <f aca="false">0</f>
        <v>0</v>
      </c>
      <c r="L93" s="41" t="n">
        <f aca="false">0</f>
        <v>0</v>
      </c>
      <c r="M93" s="41" t="n">
        <f aca="false">0</f>
        <v>0</v>
      </c>
      <c r="N93" s="41" t="n">
        <f aca="false">0</f>
        <v>0</v>
      </c>
      <c r="O93" s="41" t="n">
        <f aca="false">0</f>
        <v>0</v>
      </c>
      <c r="P93" s="41" t="n">
        <f aca="false">0</f>
        <v>0</v>
      </c>
      <c r="Q93" s="41" t="n">
        <f aca="false">0</f>
        <v>0</v>
      </c>
      <c r="R93" s="41" t="n">
        <f aca="false">0</f>
        <v>0</v>
      </c>
      <c r="S93" s="41" t="n">
        <f aca="false">0</f>
        <v>0</v>
      </c>
      <c r="T93" s="41" t="n">
        <f aca="false">0</f>
        <v>0</v>
      </c>
      <c r="U93" s="41" t="n">
        <f aca="false">0</f>
        <v>0</v>
      </c>
      <c r="V93" s="41" t="n">
        <f aca="false">0</f>
        <v>0</v>
      </c>
      <c r="W93" s="41" t="n">
        <f aca="false">0</f>
        <v>0</v>
      </c>
      <c r="X93" s="41" t="n">
        <f aca="false">0</f>
        <v>0</v>
      </c>
      <c r="Y93" s="41" t="n">
        <f aca="false">0</f>
        <v>0</v>
      </c>
      <c r="Z93" s="41" t="n">
        <f aca="false">0</f>
        <v>0</v>
      </c>
      <c r="AA93" s="41" t="n">
        <f aca="false">0</f>
        <v>0</v>
      </c>
      <c r="AB93" s="41" t="n">
        <f aca="false">0</f>
        <v>0</v>
      </c>
    </row>
    <row r="94" customFormat="false" ht="15" hidden="false" customHeight="false" outlineLevel="0" collapsed="false">
      <c r="A94" s="14"/>
      <c r="B94" s="9"/>
      <c r="C94" s="9" t="s">
        <v>215</v>
      </c>
      <c r="D94" s="34" t="n">
        <f aca="false">SUM(E94:AB94)</f>
        <v>12950.685</v>
      </c>
      <c r="E94" s="41" t="n">
        <f aca="false">'Monthly Viewing Forecast'!E72*'Title Inputs'!$G$33</f>
        <v>1982.71853392577</v>
      </c>
      <c r="F94" s="41" t="n">
        <f aca="false">'Monthly Viewing Forecast'!F72*'Title Inputs'!$G$33</f>
        <v>1685.3107538369</v>
      </c>
      <c r="G94" s="41" t="n">
        <f aca="false">'Monthly Viewing Forecast'!G72*'Title Inputs'!$G$33</f>
        <v>1432.51414076137</v>
      </c>
      <c r="H94" s="41" t="n">
        <f aca="false">'Monthly Viewing Forecast'!H72*'Title Inputs'!$G$33</f>
        <v>1217.63701964716</v>
      </c>
      <c r="I94" s="41" t="n">
        <f aca="false">'Monthly Viewing Forecast'!I72*'Title Inputs'!$G$33</f>
        <v>1034.99146670009</v>
      </c>
      <c r="J94" s="41" t="n">
        <f aca="false">'Monthly Viewing Forecast'!J72*'Title Inputs'!$G$33</f>
        <v>879.742746695075</v>
      </c>
      <c r="K94" s="41" t="n">
        <f aca="false">'Monthly Viewing Forecast'!K72*'Title Inputs'!$G$33</f>
        <v>747.781334690814</v>
      </c>
      <c r="L94" s="41" t="n">
        <f aca="false">'Monthly Viewing Forecast'!L72*'Title Inputs'!$G$33</f>
        <v>635.614134487192</v>
      </c>
      <c r="M94" s="41" t="n">
        <f aca="false">'Monthly Viewing Forecast'!M72*'Title Inputs'!$G$33</f>
        <v>540.272014314113</v>
      </c>
      <c r="N94" s="41" t="n">
        <f aca="false">'Monthly Viewing Forecast'!N72*'Title Inputs'!$G$33</f>
        <v>459.231212166996</v>
      </c>
      <c r="O94" s="41" t="n">
        <f aca="false">'Monthly Viewing Forecast'!O72*'Title Inputs'!$G$33</f>
        <v>390.346530341947</v>
      </c>
      <c r="P94" s="41" t="n">
        <f aca="false">'Monthly Viewing Forecast'!P72*'Title Inputs'!$G$33</f>
        <v>331.794550790655</v>
      </c>
      <c r="Q94" s="41" t="n">
        <f aca="false">'Monthly Viewing Forecast'!Q72*'Title Inputs'!$G$33</f>
        <v>282.025368172056</v>
      </c>
      <c r="R94" s="41" t="n">
        <f aca="false">'Monthly Viewing Forecast'!R72*'Title Inputs'!$G$33</f>
        <v>239.721562946248</v>
      </c>
      <c r="S94" s="41" t="n">
        <f aca="false">'Monthly Viewing Forecast'!S72*'Title Inputs'!$G$33</f>
        <v>203.763328504311</v>
      </c>
      <c r="T94" s="41" t="n">
        <f aca="false">'Monthly Viewing Forecast'!T72*'Title Inputs'!$G$33</f>
        <v>173.198829228664</v>
      </c>
      <c r="U94" s="41" t="n">
        <f aca="false">'Monthly Viewing Forecast'!U72*'Title Inputs'!$G$33</f>
        <v>147.219004844365</v>
      </c>
      <c r="V94" s="41" t="n">
        <f aca="false">'Monthly Viewing Forecast'!V72*'Title Inputs'!$G$33</f>
        <v>125.13615411771</v>
      </c>
      <c r="W94" s="41" t="n">
        <f aca="false">'Monthly Viewing Forecast'!W72*'Title Inputs'!$G$33</f>
        <v>106.365731000053</v>
      </c>
      <c r="X94" s="41" t="n">
        <f aca="false">'Monthly Viewing Forecast'!X72*'Title Inputs'!$G$33</f>
        <v>90.4108713500454</v>
      </c>
      <c r="Y94" s="41" t="n">
        <f aca="false">'Monthly Viewing Forecast'!Y72*'Title Inputs'!$G$33</f>
        <v>76.8492406475386</v>
      </c>
      <c r="Z94" s="41" t="n">
        <f aca="false">'Monthly Viewing Forecast'!Z72*'Title Inputs'!$G$33</f>
        <v>65.3218545504078</v>
      </c>
      <c r="AA94" s="41" t="n">
        <f aca="false">'Monthly Viewing Forecast'!AA72*'Title Inputs'!$G$33</f>
        <v>55.5235763678466</v>
      </c>
      <c r="AB94" s="41" t="n">
        <f aca="false">'Monthly Viewing Forecast'!AB72*'Title Inputs'!$G$33</f>
        <v>47.1950399126696</v>
      </c>
    </row>
    <row r="95" customFormat="false" ht="15" hidden="false" customHeight="false" outlineLevel="0" collapsed="false">
      <c r="A95" s="14"/>
      <c r="B95" s="9"/>
      <c r="C95" s="8" t="s">
        <v>216</v>
      </c>
      <c r="D95" s="34" t="n">
        <f aca="false">SUM(E95:AB95)</f>
        <v>-38869.89875</v>
      </c>
      <c r="E95" s="34" t="n">
        <f aca="false">E90+E91-E92-E93-E94</f>
        <v>-62847.3245885231</v>
      </c>
      <c r="F95" s="34" t="n">
        <f aca="false">F90+F91-F92-F93-F94</f>
        <v>-6805.22590024466</v>
      </c>
      <c r="G95" s="34" t="n">
        <f aca="false">G90+G91-G92-G93-G94</f>
        <v>-419.442015207963</v>
      </c>
      <c r="H95" s="34" t="n">
        <f aca="false">H90+H91-H92-H93-H94</f>
        <v>919.474287073232</v>
      </c>
      <c r="I95" s="34" t="n">
        <f aca="false">I90+I91-I92-I93-I94</f>
        <v>4725.55314401225</v>
      </c>
      <c r="J95" s="34" t="n">
        <f aca="false">J90+J91-J92-J93-J94</f>
        <v>4016.72017241041</v>
      </c>
      <c r="K95" s="34" t="n">
        <f aca="false">K90+K91-K92-K93-K94</f>
        <v>3414.21214654885</v>
      </c>
      <c r="L95" s="34" t="n">
        <f aca="false">L90+L91-L92-L93-L94</f>
        <v>2902.08032456652</v>
      </c>
      <c r="M95" s="34" t="n">
        <f aca="false">M90+M91-M92-M93-M94</f>
        <v>2466.76827588154</v>
      </c>
      <c r="N95" s="34" t="n">
        <f aca="false">N90+N91-N92-N93-N94</f>
        <v>2096.75303449931</v>
      </c>
      <c r="O95" s="34" t="n">
        <f aca="false">O90+O91-O92-O93-O94</f>
        <v>1782.24007932441</v>
      </c>
      <c r="P95" s="34" t="n">
        <f aca="false">P90+P91-P92-P93-P94</f>
        <v>1514.90406742575</v>
      </c>
      <c r="Q95" s="34" t="n">
        <f aca="false">Q90+Q91-Q92-Q93-Q94</f>
        <v>1287.66845731189</v>
      </c>
      <c r="R95" s="34" t="n">
        <f aca="false">R90+R91-R92-R93-R94</f>
        <v>1094.51818871511</v>
      </c>
      <c r="S95" s="34" t="n">
        <f aca="false">S90+S91-S92-S93-S94</f>
        <v>930.34046040784</v>
      </c>
      <c r="T95" s="34" t="n">
        <f aca="false">T90+T91-T92-T93-T94</f>
        <v>790.789391346664</v>
      </c>
      <c r="U95" s="34" t="n">
        <f aca="false">U90+U91-U92-U93-U94</f>
        <v>672.170982644664</v>
      </c>
      <c r="V95" s="34" t="n">
        <f aca="false">V90+V91-V92-V93-V94</f>
        <v>571.345335247965</v>
      </c>
      <c r="W95" s="34" t="n">
        <f aca="false">W90+W91-W92-W93-W94</f>
        <v>485.64353496077</v>
      </c>
      <c r="X95" s="34" t="n">
        <f aca="false">X90+X91-X92-X93-X94</f>
        <v>412.797004716655</v>
      </c>
      <c r="Y95" s="34" t="n">
        <f aca="false">Y90+Y91-Y92-Y93-Y94</f>
        <v>350.877454009156</v>
      </c>
      <c r="Z95" s="34" t="n">
        <f aca="false">Z90+Z91-Z92-Z93-Z94</f>
        <v>298.245835907783</v>
      </c>
      <c r="AA95" s="34" t="n">
        <f aca="false">AA90+AA91-AA92-AA93-AA94</f>
        <v>253.508960521615</v>
      </c>
      <c r="AB95" s="34" t="n">
        <f aca="false">AB90+AB91-AB92-AB93-AB94</f>
        <v>215.482616443373</v>
      </c>
    </row>
    <row r="97" customFormat="false" ht="15" hidden="false" customHeight="false" outlineLevel="0" collapsed="false">
      <c r="B97" s="42" t="s">
        <v>200</v>
      </c>
      <c r="C97" s="43" t="s">
        <v>217</v>
      </c>
      <c r="D97" s="34" t="n">
        <f aca="false">$D$62+$D$69+$D$76+$D$83+$D$90</f>
        <v>2773098.2932403</v>
      </c>
      <c r="E97" s="34" t="n">
        <f aca="false">E62+E69+E76+E83+E90</f>
        <v>352803.891860004</v>
      </c>
      <c r="F97" s="34" t="n">
        <f aca="false">F62+F69+F76+F83+F90</f>
        <v>309768.520568405</v>
      </c>
      <c r="G97" s="34" t="n">
        <f aca="false">G62+G69+G76+G83+G90</f>
        <v>272010.279288367</v>
      </c>
      <c r="H97" s="34" t="n">
        <f aca="false">H62+H69+H76+H83+H90</f>
        <v>238878.364232477</v>
      </c>
      <c r="I97" s="34" t="n">
        <f aca="false">I62+I69+I76+I83+I90</f>
        <v>209802.729403097</v>
      </c>
      <c r="J97" s="34" t="n">
        <f aca="false">J62+J69+J76+J83+J90</f>
        <v>184283.998713123</v>
      </c>
      <c r="K97" s="34" t="n">
        <f aca="false">K62+K69+K76+K83+K90</f>
        <v>161884.647179397</v>
      </c>
      <c r="L97" s="34" t="n">
        <f aca="false">L62+L69+L76+L83+L90</f>
        <v>142221.290339617</v>
      </c>
      <c r="M97" s="34" t="n">
        <f aca="false">M62+M69+M76+M83+M90</f>
        <v>124957.941590603</v>
      </c>
      <c r="N97" s="34" t="n">
        <f aca="false">N62+N69+N76+N83+N90</f>
        <v>109800.11504676</v>
      </c>
      <c r="O97" s="34" t="n">
        <f aca="false">O62+O69+O76+O83+O90</f>
        <v>96489.6671160787</v>
      </c>
      <c r="P97" s="34" t="n">
        <f aca="false">P62+P69+P76+P83+P90</f>
        <v>84800.283585658</v>
      </c>
      <c r="Q97" s="34" t="n">
        <f aca="false">Q62+Q69+Q76+Q83+Q90</f>
        <v>74533.5308591192</v>
      </c>
      <c r="R97" s="34" t="n">
        <f aca="false">R62+R69+R76+R83+R90</f>
        <v>65515.4003199927</v>
      </c>
      <c r="S97" s="34" t="n">
        <f aca="false">S62+S69+S76+S83+S90</f>
        <v>57593.2838044616</v>
      </c>
      <c r="T97" s="34" t="n">
        <f aca="false">T62+T69+T76+T83+T90</f>
        <v>50633.3260243742</v>
      </c>
      <c r="U97" s="34" t="n">
        <f aca="false">U62+U69+U76+U83+U90</f>
        <v>44518.1066356297</v>
      </c>
      <c r="V97" s="34" t="n">
        <f aca="false">V62+V69+V76+V83+V90</f>
        <v>39144.6106270654</v>
      </c>
      <c r="W97" s="34" t="n">
        <f aca="false">W62+W69+W76+W83+W90</f>
        <v>34422.4509232048</v>
      </c>
      <c r="X97" s="34" t="n">
        <f aca="false">X62+X69+X76+X83+X90</f>
        <v>30272.3116484961</v>
      </c>
      <c r="Y97" s="34" t="n">
        <f aca="false">Y62+Y69+Y76+Y83+Y90</f>
        <v>26624.5844761264</v>
      </c>
      <c r="Z97" s="34" t="n">
        <f aca="false">Z62+Z69+Z76+Z83+Z90</f>
        <v>23418.1739552954</v>
      </c>
      <c r="AA97" s="34" t="n">
        <f aca="false">AA62+AA69+AA76+AA83+AA90</f>
        <v>20599.4507415244</v>
      </c>
      <c r="AB97" s="34" t="n">
        <f aca="false">AB62+AB69+AB76+AB83+AB90</f>
        <v>18121.3343014233</v>
      </c>
    </row>
    <row r="98" customFormat="false" ht="15" hidden="false" customHeight="false" outlineLevel="0" collapsed="false">
      <c r="B98" s="42" t="s">
        <v>200</v>
      </c>
      <c r="C98" s="43" t="s">
        <v>218</v>
      </c>
      <c r="D98" s="34" t="n">
        <f aca="false">$D$63+$D$70+$D$77+$D$84+$D$91</f>
        <v>407970.57885</v>
      </c>
      <c r="E98" s="34" t="n">
        <f aca="false">E63+E70+E77+E84+E91</f>
        <v>52257.6851477857</v>
      </c>
      <c r="F98" s="34" t="n">
        <f aca="false">F63+F70+F77+F84+F91</f>
        <v>45828.3225564243</v>
      </c>
      <c r="G98" s="34" t="n">
        <f aca="false">G63+G70+G77+G84+G91</f>
        <v>40194.7361857473</v>
      </c>
      <c r="H98" s="34" t="n">
        <f aca="false">H63+H70+H77+H84+H91</f>
        <v>35257.7924583832</v>
      </c>
      <c r="I98" s="34" t="n">
        <f aca="false">I63+I70+I77+I84+I91</f>
        <v>30930.7929820284</v>
      </c>
      <c r="J98" s="34" t="n">
        <f aca="false">J63+J70+J77+J84+J91</f>
        <v>27137.9032201055</v>
      </c>
      <c r="K98" s="34" t="n">
        <f aca="false">K63+K70+K77+K84+K91</f>
        <v>23812.7812534858</v>
      </c>
      <c r="L98" s="34" t="n">
        <f aca="false">L63+L70+L77+L84+L91</f>
        <v>20897.3809488902</v>
      </c>
      <c r="M98" s="34" t="n">
        <f aca="false">M63+M70+M77+M84+M91</f>
        <v>18340.907173843</v>
      </c>
      <c r="N98" s="34" t="n">
        <f aca="false">N63+N70+N77+N84+N91</f>
        <v>16098.9035884273</v>
      </c>
      <c r="O98" s="34" t="n">
        <f aca="false">O63+O70+O77+O84+O91</f>
        <v>14132.4560576988</v>
      </c>
      <c r="P98" s="34" t="n">
        <f aca="false">P63+P70+P77+P84+P91</f>
        <v>12407.496914983</v>
      </c>
      <c r="Q98" s="34" t="n">
        <f aca="false">Q63+Q70+Q77+Q84+Q91</f>
        <v>10894.1972083768</v>
      </c>
      <c r="R98" s="34" t="n">
        <f aca="false">R63+R70+R77+R84+R91</f>
        <v>9566.43571786607</v>
      </c>
      <c r="S98" s="34" t="n">
        <f aca="false">S63+S70+S77+S84+S91</f>
        <v>8401.33497091027</v>
      </c>
      <c r="T98" s="34" t="n">
        <f aca="false">T63+T70+T77+T84+T91</f>
        <v>7378.85573820552</v>
      </c>
      <c r="U98" s="34" t="n">
        <f aca="false">U63+U70+U77+U84+U91</f>
        <v>6481.44258298464</v>
      </c>
      <c r="V98" s="34" t="n">
        <f aca="false">V63+V70+V77+V84+V91</f>
        <v>5693.71398781679</v>
      </c>
      <c r="W98" s="34" t="n">
        <f aca="false">W63+W70+W77+W84+W91</f>
        <v>5002.19141079911</v>
      </c>
      <c r="X98" s="34" t="n">
        <f aca="false">X63+X70+X77+X84+X91</f>
        <v>4395.062344256</v>
      </c>
      <c r="Y98" s="34" t="n">
        <f aca="false">Y63+Y70+Y77+Y84+Y91</f>
        <v>3861.9730774429</v>
      </c>
      <c r="Z98" s="34" t="n">
        <f aca="false">Z63+Z70+Z77+Z84+Z91</f>
        <v>3393.84741234372</v>
      </c>
      <c r="AA98" s="34" t="n">
        <f aca="false">AA63+AA70+AA77+AA84+AA91</f>
        <v>2982.72805892495</v>
      </c>
      <c r="AB98" s="34" t="n">
        <f aca="false">AB63+AB70+AB77+AB84+AB91</f>
        <v>2621.63785227063</v>
      </c>
    </row>
    <row r="99" customFormat="false" ht="15" hidden="false" customHeight="false" outlineLevel="0" collapsed="false">
      <c r="B99" s="42" t="s">
        <v>200</v>
      </c>
      <c r="C99" s="43" t="s">
        <v>219</v>
      </c>
      <c r="D99" s="34" t="n">
        <f aca="false">$D$64+$D$71+$D$78+$D$85+$D$92</f>
        <v>525000</v>
      </c>
      <c r="E99" s="34" t="n">
        <f aca="false">E64+E71+E78+E85+E92</f>
        <v>288750</v>
      </c>
      <c r="F99" s="34" t="n">
        <f aca="false">F64+F71+F78+F85+F92</f>
        <v>131250</v>
      </c>
      <c r="G99" s="34" t="n">
        <f aca="false">G64+G71+G78+G85+G92</f>
        <v>63000</v>
      </c>
      <c r="H99" s="34" t="n">
        <f aca="false">H64+H71+H78+H85+H92</f>
        <v>42000</v>
      </c>
      <c r="I99" s="34" t="n">
        <f aca="false">I64+I71+I78+I85+I92</f>
        <v>0</v>
      </c>
      <c r="J99" s="34" t="n">
        <f aca="false">J64+J71+J78+J85+J92</f>
        <v>0</v>
      </c>
      <c r="K99" s="34" t="n">
        <f aca="false">K64+K71+K78+K85+K92</f>
        <v>0</v>
      </c>
      <c r="L99" s="34" t="n">
        <f aca="false">L64+L71+L78+L85+L92</f>
        <v>0</v>
      </c>
      <c r="M99" s="34" t="n">
        <f aca="false">M64+M71+M78+M85+M92</f>
        <v>0</v>
      </c>
      <c r="N99" s="34" t="n">
        <f aca="false">N64+N71+N78+N85+N92</f>
        <v>0</v>
      </c>
      <c r="O99" s="34" t="n">
        <f aca="false">O64+O71+O78+O85+O92</f>
        <v>0</v>
      </c>
      <c r="P99" s="34" t="n">
        <f aca="false">P64+P71+P78+P85+P92</f>
        <v>0</v>
      </c>
      <c r="Q99" s="34" t="n">
        <f aca="false">Q64+Q71+Q78+Q85+Q92</f>
        <v>0</v>
      </c>
      <c r="R99" s="34" t="n">
        <f aca="false">R64+R71+R78+R85+R92</f>
        <v>0</v>
      </c>
      <c r="S99" s="34" t="n">
        <f aca="false">S64+S71+S78+S85+S92</f>
        <v>0</v>
      </c>
      <c r="T99" s="34" t="n">
        <f aca="false">T64+T71+T78+T85+T92</f>
        <v>0</v>
      </c>
      <c r="U99" s="34" t="n">
        <f aca="false">U64+U71+U78+U85+U92</f>
        <v>0</v>
      </c>
      <c r="V99" s="34" t="n">
        <f aca="false">V64+V71+V78+V85+V92</f>
        <v>0</v>
      </c>
      <c r="W99" s="34" t="n">
        <f aca="false">W64+W71+W78+W85+W92</f>
        <v>0</v>
      </c>
      <c r="X99" s="34" t="n">
        <f aca="false">X64+X71+X78+X85+X92</f>
        <v>0</v>
      </c>
      <c r="Y99" s="34" t="n">
        <f aca="false">Y64+Y71+Y78+Y85+Y92</f>
        <v>0</v>
      </c>
      <c r="Z99" s="34" t="n">
        <f aca="false">Z64+Z71+Z78+Z85+Z92</f>
        <v>0</v>
      </c>
      <c r="AA99" s="34" t="n">
        <f aca="false">AA64+AA71+AA78+AA85+AA92</f>
        <v>0</v>
      </c>
      <c r="AB99" s="34" t="n">
        <f aca="false">AB64+AB71+AB78+AB85+AB92</f>
        <v>0</v>
      </c>
    </row>
    <row r="100" customFormat="false" ht="15" hidden="false" customHeight="false" outlineLevel="0" collapsed="false">
      <c r="B100" s="42" t="s">
        <v>200</v>
      </c>
      <c r="C100" s="43" t="s">
        <v>220</v>
      </c>
      <c r="D100" s="34" t="n">
        <f aca="false">$D$65+$D$72+$D$79+$D$86+$D$93</f>
        <v>240000</v>
      </c>
      <c r="E100" s="34" t="n">
        <f aca="false">E65+E72+E79+E86+E93</f>
        <v>240000</v>
      </c>
      <c r="F100" s="34" t="n">
        <f aca="false">F65+F72+F79+F86+F93</f>
        <v>0</v>
      </c>
      <c r="G100" s="34" t="n">
        <f aca="false">G65+G72+G79+G86+G93</f>
        <v>0</v>
      </c>
      <c r="H100" s="34" t="n">
        <f aca="false">H65+H72+H79+H86+H93</f>
        <v>0</v>
      </c>
      <c r="I100" s="34" t="n">
        <f aca="false">I65+I72+I79+I86+I93</f>
        <v>0</v>
      </c>
      <c r="J100" s="34" t="n">
        <f aca="false">J65+J72+J79+J86+J93</f>
        <v>0</v>
      </c>
      <c r="K100" s="34" t="n">
        <f aca="false">K65+K72+K79+K86+K93</f>
        <v>0</v>
      </c>
      <c r="L100" s="34" t="n">
        <f aca="false">L65+L72+L79+L86+L93</f>
        <v>0</v>
      </c>
      <c r="M100" s="34" t="n">
        <f aca="false">M65+M72+M79+M86+M93</f>
        <v>0</v>
      </c>
      <c r="N100" s="34" t="n">
        <f aca="false">N65+N72+N79+N86+N93</f>
        <v>0</v>
      </c>
      <c r="O100" s="34" t="n">
        <f aca="false">O65+O72+O79+O86+O93</f>
        <v>0</v>
      </c>
      <c r="P100" s="34" t="n">
        <f aca="false">P65+P72+P79+P86+P93</f>
        <v>0</v>
      </c>
      <c r="Q100" s="34" t="n">
        <f aca="false">Q65+Q72+Q79+Q86+Q93</f>
        <v>0</v>
      </c>
      <c r="R100" s="34" t="n">
        <f aca="false">R65+R72+R79+R86+R93</f>
        <v>0</v>
      </c>
      <c r="S100" s="34" t="n">
        <f aca="false">S65+S72+S79+S86+S93</f>
        <v>0</v>
      </c>
      <c r="T100" s="34" t="n">
        <f aca="false">T65+T72+T79+T86+T93</f>
        <v>0</v>
      </c>
      <c r="U100" s="34" t="n">
        <f aca="false">U65+U72+U79+U86+U93</f>
        <v>0</v>
      </c>
      <c r="V100" s="34" t="n">
        <f aca="false">V65+V72+V79+V86+V93</f>
        <v>0</v>
      </c>
      <c r="W100" s="34" t="n">
        <f aca="false">W65+W72+W79+W86+W93</f>
        <v>0</v>
      </c>
      <c r="X100" s="34" t="n">
        <f aca="false">X65+X72+X79+X86+X93</f>
        <v>0</v>
      </c>
      <c r="Y100" s="34" t="n">
        <f aca="false">Y65+Y72+Y79+Y86+Y93</f>
        <v>0</v>
      </c>
      <c r="Z100" s="34" t="n">
        <f aca="false">Z65+Z72+Z79+Z86+Z93</f>
        <v>0</v>
      </c>
      <c r="AA100" s="34" t="n">
        <f aca="false">AA65+AA72+AA79+AA86+AA93</f>
        <v>0</v>
      </c>
      <c r="AB100" s="34" t="n">
        <f aca="false">AB65+AB72+AB79+AB86+AB93</f>
        <v>0</v>
      </c>
    </row>
    <row r="101" customFormat="false" ht="15" hidden="false" customHeight="false" outlineLevel="0" collapsed="false">
      <c r="B101" s="42" t="s">
        <v>200</v>
      </c>
      <c r="C101" s="43" t="s">
        <v>221</v>
      </c>
      <c r="D101" s="34" t="n">
        <f aca="false">$D$66+$D$73+$D$80+$D$87+$D$94</f>
        <v>303445.111333333</v>
      </c>
      <c r="E101" s="34" t="n">
        <f aca="false">E66+E73+E80+E87+E94</f>
        <v>39147.0203142789</v>
      </c>
      <c r="F101" s="34" t="n">
        <f aca="false">F66+F73+F80+F87+F94</f>
        <v>34287.2475064392</v>
      </c>
      <c r="G101" s="34" t="n">
        <f aca="false">G66+G73+G80+G87+G94</f>
        <v>30034.8815226548</v>
      </c>
      <c r="H101" s="34" t="n">
        <f aca="false">H66+H73+H80+H87+H94</f>
        <v>26313.4531914398</v>
      </c>
      <c r="I101" s="34" t="n">
        <f aca="false">I66+I73+I80+I87+I94</f>
        <v>23056.1943238008</v>
      </c>
      <c r="J101" s="34" t="n">
        <f aca="false">J66+J73+J80+J87+J94</f>
        <v>20204.7971382426</v>
      </c>
      <c r="K101" s="34" t="n">
        <f aca="false">K66+K73+K80+K87+K94</f>
        <v>17708.3336535397</v>
      </c>
      <c r="L101" s="34" t="n">
        <f aca="false">L66+L73+L80+L87+L94</f>
        <v>15522.3142460233</v>
      </c>
      <c r="M101" s="34" t="n">
        <f aca="false">M66+M73+M80+M87+M94</f>
        <v>13607.8672968893</v>
      </c>
      <c r="N101" s="34" t="n">
        <f aca="false">N66+N73+N80+N87+N94</f>
        <v>11931.0242227687</v>
      </c>
      <c r="O101" s="34" t="n">
        <f aca="false">O66+O73+O80+O87+O94</f>
        <v>10462.0962376822</v>
      </c>
      <c r="P101" s="34" t="n">
        <f aca="false">P66+P73+P80+P87+P94</f>
        <v>9175.13097822623</v>
      </c>
      <c r="Q101" s="34" t="n">
        <f aca="false">Q66+Q73+Q80+Q87+Q94</f>
        <v>8047.43867248865</v>
      </c>
      <c r="R101" s="34" t="n">
        <f aca="false">R66+R73+R80+R87+R94</f>
        <v>7059.17887801892</v>
      </c>
      <c r="S101" s="34" t="n">
        <f aca="false">S66+S73+S80+S87+S94</f>
        <v>6192.99998223702</v>
      </c>
      <c r="T101" s="34" t="n">
        <f aca="false">T66+T73+T80+T87+T94</f>
        <v>5433.72467338925</v>
      </c>
      <c r="U101" s="34" t="n">
        <f aca="false">U66+U73+U80+U87+U94</f>
        <v>4768.07547185253</v>
      </c>
      <c r="V101" s="34" t="n">
        <f aca="false">V66+V73+V80+V87+V94</f>
        <v>4184.43517784144</v>
      </c>
      <c r="W101" s="34" t="n">
        <f aca="false">W66+W73+W80+W87+W94</f>
        <v>3672.63775762889</v>
      </c>
      <c r="X101" s="34" t="n">
        <f aca="false">X66+X73+X80+X87+X94</f>
        <v>3223.78576946639</v>
      </c>
      <c r="Y101" s="34" t="n">
        <f aca="false">Y66+Y73+Y80+Y87+Y94</f>
        <v>2830.09093394143</v>
      </c>
      <c r="Z101" s="34" t="n">
        <f aca="false">Z66+Z73+Z80+Z87+Z94</f>
        <v>2484.7348914705</v>
      </c>
      <c r="AA101" s="34" t="n">
        <f aca="false">AA66+AA73+AA80+AA87+AA94</f>
        <v>2181.74757061493</v>
      </c>
      <c r="AB101" s="34" t="n">
        <f aca="false">AB66+AB73+AB80+AB87+AB94</f>
        <v>1915.90092239785</v>
      </c>
    </row>
    <row r="102" customFormat="false" ht="15" hidden="false" customHeight="false" outlineLevel="0" collapsed="false">
      <c r="B102" s="42" t="s">
        <v>200</v>
      </c>
      <c r="C102" s="42" t="s">
        <v>222</v>
      </c>
      <c r="D102" s="34" t="n">
        <f aca="false">SUM(E102:AB102)</f>
        <v>3181068.8720903</v>
      </c>
      <c r="E102" s="34" t="n">
        <f aca="false">E97+E98</f>
        <v>405061.57700779</v>
      </c>
      <c r="F102" s="34" t="n">
        <f aca="false">F97+F98</f>
        <v>355596.84312483</v>
      </c>
      <c r="G102" s="34" t="n">
        <f aca="false">G97+G98</f>
        <v>312205.015474114</v>
      </c>
      <c r="H102" s="34" t="n">
        <f aca="false">H97+H98</f>
        <v>274136.15669086</v>
      </c>
      <c r="I102" s="34" t="n">
        <f aca="false">I97+I98</f>
        <v>240733.522385125</v>
      </c>
      <c r="J102" s="34" t="n">
        <f aca="false">J97+J98</f>
        <v>211421.901933228</v>
      </c>
      <c r="K102" s="34" t="n">
        <f aca="false">K97+K98</f>
        <v>185697.428432883</v>
      </c>
      <c r="L102" s="34" t="n">
        <f aca="false">L97+L98</f>
        <v>163118.671288507</v>
      </c>
      <c r="M102" s="34" t="n">
        <f aca="false">M97+M98</f>
        <v>143298.848764446</v>
      </c>
      <c r="N102" s="34" t="n">
        <f aca="false">N97+N98</f>
        <v>125899.018635187</v>
      </c>
      <c r="O102" s="34" t="n">
        <f aca="false">O97+O98</f>
        <v>110622.123173778</v>
      </c>
      <c r="P102" s="34" t="n">
        <f aca="false">P97+P98</f>
        <v>97207.780500641</v>
      </c>
      <c r="Q102" s="34" t="n">
        <f aca="false">Q97+Q98</f>
        <v>85427.728067496</v>
      </c>
      <c r="R102" s="34" t="n">
        <f aca="false">R97+R98</f>
        <v>75081.8360378587</v>
      </c>
      <c r="S102" s="34" t="n">
        <f aca="false">S97+S98</f>
        <v>65994.6187753719</v>
      </c>
      <c r="T102" s="34" t="n">
        <f aca="false">T97+T98</f>
        <v>58012.1817625798</v>
      </c>
      <c r="U102" s="34" t="n">
        <f aca="false">U97+U98</f>
        <v>50999.5492186144</v>
      </c>
      <c r="V102" s="34" t="n">
        <f aca="false">V97+V98</f>
        <v>44838.3246148821</v>
      </c>
      <c r="W102" s="34" t="n">
        <f aca="false">W97+W98</f>
        <v>39424.6423340039</v>
      </c>
      <c r="X102" s="34" t="n">
        <f aca="false">X97+X98</f>
        <v>34667.3739927521</v>
      </c>
      <c r="Y102" s="34" t="n">
        <f aca="false">Y97+Y98</f>
        <v>30486.5575535693</v>
      </c>
      <c r="Z102" s="34" t="n">
        <f aca="false">Z97+Z98</f>
        <v>26812.0213676391</v>
      </c>
      <c r="AA102" s="34" t="n">
        <f aca="false">AA97+AA98</f>
        <v>23582.1788004494</v>
      </c>
      <c r="AB102" s="34" t="n">
        <f aca="false">AB97+AB98</f>
        <v>20742.9721536939</v>
      </c>
    </row>
    <row r="103" customFormat="false" ht="15" hidden="false" customHeight="false" outlineLevel="0" collapsed="false">
      <c r="B103" s="42" t="s">
        <v>200</v>
      </c>
      <c r="C103" s="42" t="s">
        <v>223</v>
      </c>
      <c r="D103" s="34" t="n">
        <f aca="false">SUM(E103:AB103)</f>
        <v>1068445.11133333</v>
      </c>
      <c r="E103" s="34" t="n">
        <f aca="false">E99+E100+E101</f>
        <v>567897.020314279</v>
      </c>
      <c r="F103" s="34" t="n">
        <f aca="false">F99+F100+F101</f>
        <v>165537.247506439</v>
      </c>
      <c r="G103" s="34" t="n">
        <f aca="false">G99+G100+G101</f>
        <v>93034.8815226548</v>
      </c>
      <c r="H103" s="34" t="n">
        <f aca="false">H99+H100+H101</f>
        <v>68313.4531914398</v>
      </c>
      <c r="I103" s="34" t="n">
        <f aca="false">I99+I100+I101</f>
        <v>23056.1943238008</v>
      </c>
      <c r="J103" s="34" t="n">
        <f aca="false">J99+J100+J101</f>
        <v>20204.7971382426</v>
      </c>
      <c r="K103" s="34" t="n">
        <f aca="false">K99+K100+K101</f>
        <v>17708.3336535397</v>
      </c>
      <c r="L103" s="34" t="n">
        <f aca="false">L99+L100+L101</f>
        <v>15522.3142460233</v>
      </c>
      <c r="M103" s="34" t="n">
        <f aca="false">M99+M100+M101</f>
        <v>13607.8672968893</v>
      </c>
      <c r="N103" s="34" t="n">
        <f aca="false">N99+N100+N101</f>
        <v>11931.0242227687</v>
      </c>
      <c r="O103" s="34" t="n">
        <f aca="false">O99+O100+O101</f>
        <v>10462.0962376822</v>
      </c>
      <c r="P103" s="34" t="n">
        <f aca="false">P99+P100+P101</f>
        <v>9175.13097822623</v>
      </c>
      <c r="Q103" s="34" t="n">
        <f aca="false">Q99+Q100+Q101</f>
        <v>8047.43867248865</v>
      </c>
      <c r="R103" s="34" t="n">
        <f aca="false">R99+R100+R101</f>
        <v>7059.17887801892</v>
      </c>
      <c r="S103" s="34" t="n">
        <f aca="false">S99+S100+S101</f>
        <v>6192.99998223702</v>
      </c>
      <c r="T103" s="34" t="n">
        <f aca="false">T99+T100+T101</f>
        <v>5433.72467338925</v>
      </c>
      <c r="U103" s="34" t="n">
        <f aca="false">U99+U100+U101</f>
        <v>4768.07547185253</v>
      </c>
      <c r="V103" s="34" t="n">
        <f aca="false">V99+V100+V101</f>
        <v>4184.43517784144</v>
      </c>
      <c r="W103" s="34" t="n">
        <f aca="false">W99+W100+W101</f>
        <v>3672.63775762889</v>
      </c>
      <c r="X103" s="34" t="n">
        <f aca="false">X99+X100+X101</f>
        <v>3223.78576946639</v>
      </c>
      <c r="Y103" s="34" t="n">
        <f aca="false">Y99+Y100+Y101</f>
        <v>2830.09093394143</v>
      </c>
      <c r="Z103" s="34" t="n">
        <f aca="false">Z99+Z100+Z101</f>
        <v>2484.7348914705</v>
      </c>
      <c r="AA103" s="34" t="n">
        <f aca="false">AA99+AA100+AA101</f>
        <v>2181.74757061493</v>
      </c>
      <c r="AB103" s="34" t="n">
        <f aca="false">AB99+AB100+AB101</f>
        <v>1915.90092239785</v>
      </c>
    </row>
    <row r="104" customFormat="false" ht="15" hidden="false" customHeight="false" outlineLevel="0" collapsed="false">
      <c r="B104" s="42" t="s">
        <v>200</v>
      </c>
      <c r="C104" s="42" t="s">
        <v>216</v>
      </c>
      <c r="D104" s="34" t="n">
        <f aca="false">SUM(E104:AB104)</f>
        <v>2112623.76075697</v>
      </c>
      <c r="E104" s="34" t="n">
        <f aca="false">E102-E103</f>
        <v>-162835.443306489</v>
      </c>
      <c r="F104" s="34" t="n">
        <f aca="false">F102-F103</f>
        <v>190059.59561839</v>
      </c>
      <c r="G104" s="34" t="n">
        <f aca="false">G102-G103</f>
        <v>219170.133951459</v>
      </c>
      <c r="H104" s="34" t="n">
        <f aca="false">H102-H103</f>
        <v>205822.70349942</v>
      </c>
      <c r="I104" s="34" t="n">
        <f aca="false">I102-I103</f>
        <v>217677.328061325</v>
      </c>
      <c r="J104" s="34" t="n">
        <f aca="false">J102-J103</f>
        <v>191217.104794986</v>
      </c>
      <c r="K104" s="34" t="n">
        <f aca="false">K102-K103</f>
        <v>167989.094779343</v>
      </c>
      <c r="L104" s="34" t="n">
        <f aca="false">L102-L103</f>
        <v>147596.357042484</v>
      </c>
      <c r="M104" s="34" t="n">
        <f aca="false">M102-M103</f>
        <v>129690.981467556</v>
      </c>
      <c r="N104" s="34" t="n">
        <f aca="false">N102-N103</f>
        <v>113967.994412418</v>
      </c>
      <c r="O104" s="34" t="n">
        <f aca="false">O102-O103</f>
        <v>100160.026936095</v>
      </c>
      <c r="P104" s="34" t="n">
        <f aca="false">P102-P103</f>
        <v>88032.6495224148</v>
      </c>
      <c r="Q104" s="34" t="n">
        <f aca="false">Q102-Q103</f>
        <v>77380.2893950074</v>
      </c>
      <c r="R104" s="34" t="n">
        <f aca="false">R102-R103</f>
        <v>68022.6571598398</v>
      </c>
      <c r="S104" s="34" t="n">
        <f aca="false">S102-S103</f>
        <v>59801.6187931349</v>
      </c>
      <c r="T104" s="34" t="n">
        <f aca="false">T102-T103</f>
        <v>52578.4570891905</v>
      </c>
      <c r="U104" s="34" t="n">
        <f aca="false">U102-U103</f>
        <v>46231.4737467618</v>
      </c>
      <c r="V104" s="34" t="n">
        <f aca="false">V102-V103</f>
        <v>40653.8894370407</v>
      </c>
      <c r="W104" s="34" t="n">
        <f aca="false">W102-W103</f>
        <v>35752.004576375</v>
      </c>
      <c r="X104" s="34" t="n">
        <f aca="false">X102-X103</f>
        <v>31443.5882232857</v>
      </c>
      <c r="Y104" s="34" t="n">
        <f aca="false">Y102-Y103</f>
        <v>27656.4666196279</v>
      </c>
      <c r="Z104" s="34" t="n">
        <f aca="false">Z102-Z103</f>
        <v>24327.2864761686</v>
      </c>
      <c r="AA104" s="34" t="n">
        <f aca="false">AA102-AA103</f>
        <v>21400.4312298345</v>
      </c>
      <c r="AB104" s="34" t="n">
        <f aca="false">AB102-AB103</f>
        <v>18827.071231296</v>
      </c>
    </row>
    <row r="105" customFormat="false" ht="15" hidden="false" customHeight="false" outlineLevel="0" collapsed="false">
      <c r="C105" s="9" t="s">
        <v>224</v>
      </c>
      <c r="D105" s="34" t="n">
        <f aca="false">SUMPRODUCT(E102:AB102,'Title Economics'!$E$6:$AB$6)</f>
        <v>2978508.25833293</v>
      </c>
    </row>
    <row r="106" customFormat="false" ht="15" hidden="false" customHeight="false" outlineLevel="0" collapsed="false">
      <c r="C106" s="9" t="s">
        <v>225</v>
      </c>
      <c r="D106" s="34" t="n">
        <f aca="false">SUMPRODUCT(E103:AB103,'Title Economics'!$E$6:$AB$6)</f>
        <v>1038546.79925778</v>
      </c>
    </row>
    <row r="107" customFormat="false" ht="15" hidden="false" customHeight="false" outlineLevel="0" collapsed="false">
      <c r="C107" s="9" t="s">
        <v>226</v>
      </c>
      <c r="D107" s="34" t="n">
        <f aca="false">SUMPRODUCT(E104:AB104,'Title Economics'!$E$6:$AB$6)</f>
        <v>1939961.45907515</v>
      </c>
    </row>
    <row r="108" customFormat="false" ht="15" hidden="false" customHeight="false" outlineLevel="0" collapsed="false">
      <c r="C108" s="9" t="s">
        <v>227</v>
      </c>
      <c r="D108" s="34" t="n">
        <f aca="false">SUMPRODUCT(E97:AB97,'Title Economics'!$E$6:$AB$6)</f>
        <v>2596414.0309392</v>
      </c>
    </row>
    <row r="109" customFormat="false" ht="15" hidden="false" customHeight="false" outlineLevel="0" collapsed="false">
      <c r="C109" s="9" t="s">
        <v>228</v>
      </c>
      <c r="D109" s="34" t="n">
        <f aca="false">SUMPRODUCT(E98:AB98,'Title Economics'!$E$6:$AB$6)</f>
        <v>382094.227393724</v>
      </c>
    </row>
    <row r="110" customFormat="false" ht="15" hidden="false" customHeight="false" outlineLevel="0" collapsed="false">
      <c r="C110" s="9" t="s">
        <v>229</v>
      </c>
      <c r="D110" s="34" t="n">
        <f aca="false">SUMPRODUCT(E101:AB101,'Title Economics'!$E$6:$AB$6)</f>
        <v>284289.524103501</v>
      </c>
    </row>
    <row r="111" customFormat="false" ht="15" hidden="false" customHeight="false" outlineLevel="0" collapsed="false">
      <c r="C111" s="9" t="s">
        <v>230</v>
      </c>
      <c r="D111" s="34" t="n">
        <f aca="false">SUMPRODUCT(E99:AB99,'Title Economics'!$E$6:$AB$6)+SUMPRODUCT(E100:AB100,'Title Economics'!$E$6:$AB$6)</f>
        <v>754257.275154275</v>
      </c>
    </row>
    <row r="114" customFormat="false" ht="15" hidden="false" customHeight="false" outlineLevel="0" collapsed="false">
      <c r="A114" s="38" t="s">
        <v>209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</row>
    <row r="115" customFormat="false" ht="15" hidden="false" customHeight="false" outlineLevel="0" collapsed="false">
      <c r="A115" s="14" t="s">
        <v>210</v>
      </c>
      <c r="B115" s="8" t="s">
        <v>122</v>
      </c>
      <c r="C115" s="9" t="s">
        <v>213</v>
      </c>
      <c r="D115" s="34" t="n">
        <f aca="false">SUM(E115:AB115)</f>
        <v>1494218.39237665</v>
      </c>
      <c r="E115" s="41" t="n">
        <f aca="false">'Monthly Viewing Forecast'!E89*Scenarios!$C$45</f>
        <v>171204.042646957</v>
      </c>
      <c r="F115" s="41" t="n">
        <f aca="false">'Monthly Viewing Forecast'!F89*Scenarios!$C$45</f>
        <v>152885.210083732</v>
      </c>
      <c r="G115" s="41" t="n">
        <f aca="false">'Monthly Viewing Forecast'!G89*Scenarios!$C$45</f>
        <v>136526.492604773</v>
      </c>
      <c r="H115" s="41" t="n">
        <f aca="false">'Monthly Viewing Forecast'!H89*Scenarios!$C$45</f>
        <v>121918.157896062</v>
      </c>
      <c r="I115" s="41" t="n">
        <f aca="false">'Monthly Viewing Forecast'!I89*Scenarios!$C$45</f>
        <v>108872.915001183</v>
      </c>
      <c r="J115" s="41" t="n">
        <f aca="false">'Monthly Viewing Forecast'!J89*Scenarios!$C$45</f>
        <v>97223.5130960568</v>
      </c>
      <c r="K115" s="41" t="n">
        <f aca="false">'Monthly Viewing Forecast'!K89*Scenarios!$C$45</f>
        <v>86820.5971947788</v>
      </c>
      <c r="L115" s="41" t="n">
        <f aca="false">'Monthly Viewing Forecast'!L89*Scenarios!$C$45</f>
        <v>77530.7932949374</v>
      </c>
      <c r="M115" s="41" t="n">
        <f aca="false">'Monthly Viewing Forecast'!M89*Scenarios!$C$45</f>
        <v>69234.9984123792</v>
      </c>
      <c r="N115" s="41" t="n">
        <f aca="false">'Monthly Viewing Forecast'!N89*Scenarios!$C$45</f>
        <v>61826.8535822546</v>
      </c>
      <c r="O115" s="41" t="n">
        <f aca="false">'Monthly Viewing Forecast'!O89*Scenarios!$C$45</f>
        <v>55211.3802489533</v>
      </c>
      <c r="P115" s="41" t="n">
        <f aca="false">'Monthly Viewing Forecast'!P89*Scenarios!$C$45</f>
        <v>49303.7625623153</v>
      </c>
      <c r="Q115" s="41" t="n">
        <f aca="false">'Monthly Viewing Forecast'!Q89*Scenarios!$C$45</f>
        <v>44028.2599681476</v>
      </c>
      <c r="R115" s="41" t="n">
        <f aca="false">'Monthly Viewing Forecast'!R89*Scenarios!$C$45</f>
        <v>39317.2361515558</v>
      </c>
      <c r="S115" s="41" t="n">
        <f aca="false">'Monthly Viewing Forecast'!S89*Scenarios!$C$45</f>
        <v>35110.2918833393</v>
      </c>
      <c r="T115" s="41" t="n">
        <f aca="false">'Monthly Viewing Forecast'!T89*Scenarios!$C$45</f>
        <v>31353.490651822</v>
      </c>
      <c r="U115" s="41" t="n">
        <f aca="false">'Monthly Viewing Forecast'!U89*Scenarios!$C$45</f>
        <v>27998.6671520771</v>
      </c>
      <c r="V115" s="41" t="n">
        <f aca="false">'Monthly Viewing Forecast'!V89*Scenarios!$C$45</f>
        <v>25002.8097668048</v>
      </c>
      <c r="W115" s="41" t="n">
        <f aca="false">'Monthly Viewing Forecast'!W89*Scenarios!$C$45</f>
        <v>22327.5091217567</v>
      </c>
      <c r="X115" s="41" t="n">
        <f aca="false">'Monthly Viewing Forecast'!X89*Scenarios!$C$45</f>
        <v>19938.4656457287</v>
      </c>
      <c r="Y115" s="41" t="n">
        <f aca="false">'Monthly Viewing Forecast'!Y89*Scenarios!$C$45</f>
        <v>17805.0498216358</v>
      </c>
      <c r="Z115" s="41" t="n">
        <f aca="false">'Monthly Viewing Forecast'!Z89*Scenarios!$C$45</f>
        <v>15899.9094907207</v>
      </c>
      <c r="AA115" s="41" t="n">
        <f aca="false">'Monthly Viewing Forecast'!AA89*Scenarios!$C$45</f>
        <v>14198.6191752136</v>
      </c>
      <c r="AB115" s="41" t="n">
        <f aca="false">'Monthly Viewing Forecast'!AB89*Scenarios!$C$45</f>
        <v>12679.3669234658</v>
      </c>
    </row>
    <row r="116" customFormat="false" ht="15" hidden="false" customHeight="false" outlineLevel="0" collapsed="false">
      <c r="A116" s="14"/>
      <c r="B116" s="9"/>
      <c r="C116" s="9" t="s">
        <v>214</v>
      </c>
      <c r="D116" s="34" t="n">
        <f aca="false">SUM(E116:AB116)</f>
        <v>190375.937314959</v>
      </c>
      <c r="E116" s="41" t="n">
        <f aca="false">'Monthly Viewing Forecast'!E87*Scenarios!$C$45*'Title Inputs'!$C$34</f>
        <v>21812.8288724803</v>
      </c>
      <c r="F116" s="41" t="n">
        <f aca="false">'Monthly Viewing Forecast'!F87*Scenarios!$C$45*'Title Inputs'!$C$34</f>
        <v>19478.8561831249</v>
      </c>
      <c r="G116" s="41" t="n">
        <f aca="false">'Monthly Viewing Forecast'!G87*Scenarios!$C$45*'Title Inputs'!$C$34</f>
        <v>17394.6185715305</v>
      </c>
      <c r="H116" s="41" t="n">
        <f aca="false">'Monthly Viewing Forecast'!H87*Scenarios!$C$45*'Title Inputs'!$C$34</f>
        <v>15533.3943843768</v>
      </c>
      <c r="I116" s="41" t="n">
        <f aca="false">'Monthly Viewing Forecast'!I87*Scenarios!$C$45*'Title Inputs'!$C$34</f>
        <v>13871.3211852485</v>
      </c>
      <c r="J116" s="41" t="n">
        <f aca="false">'Monthly Viewing Forecast'!J87*Scenarios!$C$45*'Title Inputs'!$C$34</f>
        <v>12387.0898184269</v>
      </c>
      <c r="K116" s="41" t="n">
        <f aca="false">'Monthly Viewing Forecast'!K87*Scenarios!$C$45*'Title Inputs'!$C$34</f>
        <v>11061.6712078552</v>
      </c>
      <c r="L116" s="41" t="n">
        <f aca="false">'Monthly Viewing Forecast'!L87*Scenarios!$C$45*'Title Inputs'!$C$34</f>
        <v>9878.07238861469</v>
      </c>
      <c r="M116" s="41" t="n">
        <f aca="false">'Monthly Viewing Forecast'!M87*Scenarios!$C$45*'Title Inputs'!$C$34</f>
        <v>8821.11864303292</v>
      </c>
      <c r="N116" s="41" t="n">
        <f aca="false">'Monthly Viewing Forecast'!N87*Scenarios!$C$45*'Title Inputs'!$C$34</f>
        <v>7877.25894822839</v>
      </c>
      <c r="O116" s="41" t="n">
        <f aca="false">'Monthly Viewing Forecast'!O87*Scenarios!$C$45*'Title Inputs'!$C$34</f>
        <v>7034.39224076796</v>
      </c>
      <c r="P116" s="41" t="n">
        <f aca="false">'Monthly Viewing Forecast'!P87*Scenarios!$C$45*'Title Inputs'!$C$34</f>
        <v>6281.71227100579</v>
      </c>
      <c r="Q116" s="41" t="n">
        <f aca="false">'Monthly Viewing Forecast'!Q87*Scenarios!$C$45*'Title Inputs'!$C$34</f>
        <v>5609.56905800817</v>
      </c>
      <c r="R116" s="41" t="n">
        <f aca="false">'Monthly Viewing Forecast'!R87*Scenarios!$C$45*'Title Inputs'!$C$34</f>
        <v>5009.34516880129</v>
      </c>
      <c r="S116" s="41" t="n">
        <f aca="false">'Monthly Viewing Forecast'!S87*Scenarios!$C$45*'Title Inputs'!$C$34</f>
        <v>4473.34523573955</v>
      </c>
      <c r="T116" s="41" t="n">
        <f aca="false">'Monthly Viewing Forecast'!T87*Scenarios!$C$45*'Title Inputs'!$C$34</f>
        <v>3994.69729551542</v>
      </c>
      <c r="U116" s="41" t="n">
        <f aca="false">'Monthly Viewing Forecast'!U87*Scenarios!$C$45*'Title Inputs'!$C$34</f>
        <v>3567.26468489527</v>
      </c>
      <c r="V116" s="41" t="n">
        <f aca="false">'Monthly Viewing Forecast'!V87*Scenarios!$C$45*'Title Inputs'!$C$34</f>
        <v>3185.56736361148</v>
      </c>
      <c r="W116" s="41" t="n">
        <f aca="false">'Monthly Viewing Forecast'!W87*Scenarios!$C$45*'Title Inputs'!$C$34</f>
        <v>2844.71165570505</v>
      </c>
      <c r="X116" s="41" t="n">
        <f aca="false">'Monthly Viewing Forecast'!X87*Scenarios!$C$45*'Title Inputs'!$C$34</f>
        <v>2540.32750854461</v>
      </c>
      <c r="Y116" s="41" t="n">
        <f aca="false">'Monthly Viewing Forecast'!Y87*Scenarios!$C$45*'Title Inputs'!$C$34</f>
        <v>2268.51246513034</v>
      </c>
      <c r="Z116" s="41" t="n">
        <f aca="false">'Monthly Viewing Forecast'!Z87*Scenarios!$C$45*'Title Inputs'!$C$34</f>
        <v>2025.78163136139</v>
      </c>
      <c r="AA116" s="41" t="n">
        <f aca="false">'Monthly Viewing Forecast'!AA87*Scenarios!$C$45*'Title Inputs'!$C$34</f>
        <v>1809.02299680572</v>
      </c>
      <c r="AB116" s="41" t="n">
        <f aca="false">'Monthly Viewing Forecast'!AB87*Scenarios!$C$45*'Title Inputs'!$C$34</f>
        <v>1615.45753614751</v>
      </c>
    </row>
    <row r="117" customFormat="false" ht="15" hidden="false" customHeight="false" outlineLevel="0" collapsed="false">
      <c r="A117" s="14"/>
      <c r="B117" s="9"/>
      <c r="C117" s="9" t="s">
        <v>170</v>
      </c>
      <c r="D117" s="34" t="n">
        <f aca="false">SUM(E117:AB117)</f>
        <v>160050</v>
      </c>
      <c r="E117" s="41" t="n">
        <f aca="false">Scenarios!$C$46*INDEX(Assumptions!$C$23:$C$26,E$4)</f>
        <v>88027.5</v>
      </c>
      <c r="F117" s="41" t="n">
        <f aca="false">Scenarios!$C$46*INDEX(Assumptions!$C$23:$C$26,F$4)</f>
        <v>40012.5</v>
      </c>
      <c r="G117" s="41" t="n">
        <f aca="false">Scenarios!$C$46*INDEX(Assumptions!$C$23:$C$26,G$4)</f>
        <v>19206</v>
      </c>
      <c r="H117" s="41" t="n">
        <f aca="false">Scenarios!$C$46*INDEX(Assumptions!$C$23:$C$26,H$4)</f>
        <v>12804</v>
      </c>
      <c r="I117" s="41" t="n">
        <f aca="false">0</f>
        <v>0</v>
      </c>
      <c r="J117" s="41" t="n">
        <f aca="false">0</f>
        <v>0</v>
      </c>
      <c r="K117" s="41" t="n">
        <f aca="false">0</f>
        <v>0</v>
      </c>
      <c r="L117" s="41" t="n">
        <f aca="false">0</f>
        <v>0</v>
      </c>
      <c r="M117" s="41" t="n">
        <f aca="false">0</f>
        <v>0</v>
      </c>
      <c r="N117" s="41" t="n">
        <f aca="false">0</f>
        <v>0</v>
      </c>
      <c r="O117" s="41" t="n">
        <f aca="false">0</f>
        <v>0</v>
      </c>
      <c r="P117" s="41" t="n">
        <f aca="false">0</f>
        <v>0</v>
      </c>
      <c r="Q117" s="41" t="n">
        <f aca="false">0</f>
        <v>0</v>
      </c>
      <c r="R117" s="41" t="n">
        <f aca="false">0</f>
        <v>0</v>
      </c>
      <c r="S117" s="41" t="n">
        <f aca="false">0</f>
        <v>0</v>
      </c>
      <c r="T117" s="41" t="n">
        <f aca="false">0</f>
        <v>0</v>
      </c>
      <c r="U117" s="41" t="n">
        <f aca="false">0</f>
        <v>0</v>
      </c>
      <c r="V117" s="41" t="n">
        <f aca="false">0</f>
        <v>0</v>
      </c>
      <c r="W117" s="41" t="n">
        <f aca="false">0</f>
        <v>0</v>
      </c>
      <c r="X117" s="41" t="n">
        <f aca="false">0</f>
        <v>0</v>
      </c>
      <c r="Y117" s="41" t="n">
        <f aca="false">0</f>
        <v>0</v>
      </c>
      <c r="Z117" s="41" t="n">
        <f aca="false">0</f>
        <v>0</v>
      </c>
      <c r="AA117" s="41" t="n">
        <f aca="false">0</f>
        <v>0</v>
      </c>
      <c r="AB117" s="41" t="n">
        <f aca="false">0</f>
        <v>0</v>
      </c>
    </row>
    <row r="118" customFormat="false" ht="15" hidden="false" customHeight="false" outlineLevel="0" collapsed="false">
      <c r="A118" s="14"/>
      <c r="B118" s="9"/>
      <c r="C118" s="9" t="s">
        <v>171</v>
      </c>
      <c r="D118" s="34" t="n">
        <f aca="false">SUM(E118:AB118)</f>
        <v>58000</v>
      </c>
      <c r="E118" s="41" t="n">
        <f aca="false">'Title Inputs'!$C$32</f>
        <v>58000</v>
      </c>
      <c r="F118" s="41" t="n">
        <f aca="false">0</f>
        <v>0</v>
      </c>
      <c r="G118" s="41" t="n">
        <f aca="false">0</f>
        <v>0</v>
      </c>
      <c r="H118" s="41" t="n">
        <f aca="false">0</f>
        <v>0</v>
      </c>
      <c r="I118" s="41" t="n">
        <f aca="false">0</f>
        <v>0</v>
      </c>
      <c r="J118" s="41" t="n">
        <f aca="false">0</f>
        <v>0</v>
      </c>
      <c r="K118" s="41" t="n">
        <f aca="false">0</f>
        <v>0</v>
      </c>
      <c r="L118" s="41" t="n">
        <f aca="false">0</f>
        <v>0</v>
      </c>
      <c r="M118" s="41" t="n">
        <f aca="false">0</f>
        <v>0</v>
      </c>
      <c r="N118" s="41" t="n">
        <f aca="false">0</f>
        <v>0</v>
      </c>
      <c r="O118" s="41" t="n">
        <f aca="false">0</f>
        <v>0</v>
      </c>
      <c r="P118" s="41" t="n">
        <f aca="false">0</f>
        <v>0</v>
      </c>
      <c r="Q118" s="41" t="n">
        <f aca="false">0</f>
        <v>0</v>
      </c>
      <c r="R118" s="41" t="n">
        <f aca="false">0</f>
        <v>0</v>
      </c>
      <c r="S118" s="41" t="n">
        <f aca="false">0</f>
        <v>0</v>
      </c>
      <c r="T118" s="41" t="n">
        <f aca="false">0</f>
        <v>0</v>
      </c>
      <c r="U118" s="41" t="n">
        <f aca="false">0</f>
        <v>0</v>
      </c>
      <c r="V118" s="41" t="n">
        <f aca="false">0</f>
        <v>0</v>
      </c>
      <c r="W118" s="41" t="n">
        <f aca="false">0</f>
        <v>0</v>
      </c>
      <c r="X118" s="41" t="n">
        <f aca="false">0</f>
        <v>0</v>
      </c>
      <c r="Y118" s="41" t="n">
        <f aca="false">0</f>
        <v>0</v>
      </c>
      <c r="Z118" s="41" t="n">
        <f aca="false">0</f>
        <v>0</v>
      </c>
      <c r="AA118" s="41" t="n">
        <f aca="false">0</f>
        <v>0</v>
      </c>
      <c r="AB118" s="41" t="n">
        <f aca="false">0</f>
        <v>0</v>
      </c>
    </row>
    <row r="119" customFormat="false" ht="15" hidden="false" customHeight="false" outlineLevel="0" collapsed="false">
      <c r="A119" s="14"/>
      <c r="B119" s="9"/>
      <c r="C119" s="9" t="s">
        <v>215</v>
      </c>
      <c r="D119" s="34" t="n">
        <f aca="false">SUM(E119:AB119)</f>
        <v>125870.578313123</v>
      </c>
      <c r="E119" s="41" t="n">
        <f aca="false">'Monthly Viewing Forecast'!E87*'Title Inputs'!$C$33</f>
        <v>14421.95596538</v>
      </c>
      <c r="F119" s="41" t="n">
        <f aca="false">'Monthly Viewing Forecast'!F87*'Title Inputs'!$C$33</f>
        <v>12878.8066770844</v>
      </c>
      <c r="G119" s="41" t="n">
        <f aca="false">'Monthly Viewing Forecast'!G87*'Title Inputs'!$C$33</f>
        <v>11500.7743626363</v>
      </c>
      <c r="H119" s="41" t="n">
        <f aca="false">'Monthly Viewing Forecast'!H87*'Title Inputs'!$C$33</f>
        <v>10270.1915058342</v>
      </c>
      <c r="I119" s="41" t="n">
        <f aca="false">'Monthly Viewing Forecast'!I87*'Title Inputs'!$C$33</f>
        <v>9171.28101470998</v>
      </c>
      <c r="J119" s="41" t="n">
        <f aca="false">'Monthly Viewing Forecast'!J87*'Title Inputs'!$C$33</f>
        <v>8189.95394613601</v>
      </c>
      <c r="K119" s="41" t="n">
        <f aca="false">'Monthly Viewing Forecast'!K87*'Title Inputs'!$C$33</f>
        <v>7313.62887389946</v>
      </c>
      <c r="L119" s="41" t="n">
        <f aca="false">'Monthly Viewing Forecast'!L87*'Title Inputs'!$C$33</f>
        <v>6531.07058439221</v>
      </c>
      <c r="M119" s="41" t="n">
        <f aca="false">'Monthly Viewing Forecast'!M87*'Title Inputs'!$C$33</f>
        <v>5832.24603186225</v>
      </c>
      <c r="N119" s="41" t="n">
        <f aca="false">'Monthly Viewing Forecast'!N87*'Title Inputs'!$C$33</f>
        <v>5208.19570645299</v>
      </c>
      <c r="O119" s="41" t="n">
        <f aca="false">'Monthly Viewing Forecast'!O87*'Title Inputs'!$C$33</f>
        <v>4650.91876586252</v>
      </c>
      <c r="P119" s="41" t="n">
        <f aca="false">'Monthly Viewing Forecast'!P87*'Title Inputs'!$C$33</f>
        <v>4153.27045791523</v>
      </c>
      <c r="Q119" s="41" t="n">
        <f aca="false">'Monthly Viewing Forecast'!Q87*'Title Inputs'!$C$33</f>
        <v>3708.8705189183</v>
      </c>
      <c r="R119" s="41" t="n">
        <f aca="false">'Monthly Viewing Forecast'!R87*'Title Inputs'!$C$33</f>
        <v>3312.02137339404</v>
      </c>
      <c r="S119" s="41" t="n">
        <f aca="false">'Monthly Viewing Forecast'!S87*'Title Inputs'!$C$33</f>
        <v>2957.63508644088</v>
      </c>
      <c r="T119" s="41" t="n">
        <f aca="false">'Monthly Viewing Forecast'!T87*'Title Inputs'!$C$33</f>
        <v>2641.16813219171</v>
      </c>
      <c r="U119" s="41" t="n">
        <f aca="false">'Monthly Viewing Forecast'!U87*'Title Inputs'!$C$33</f>
        <v>2358.56314204719</v>
      </c>
      <c r="V119" s="41" t="n">
        <f aca="false">'Monthly Viewing Forecast'!V87*'Title Inputs'!$C$33</f>
        <v>2106.19688584814</v>
      </c>
      <c r="W119" s="41" t="n">
        <f aca="false">'Monthly Viewing Forecast'!W87*'Title Inputs'!$C$33</f>
        <v>1880.83381906239</v>
      </c>
      <c r="X119" s="41" t="n">
        <f aca="false">'Monthly Viewing Forecast'!X87*'Title Inputs'!$C$33</f>
        <v>1679.58460042272</v>
      </c>
      <c r="Y119" s="41" t="n">
        <f aca="false">'Monthly Viewing Forecast'!Y87*'Title Inputs'!$C$33</f>
        <v>1499.86904817748</v>
      </c>
      <c r="Z119" s="41" t="n">
        <f aca="false">'Monthly Viewing Forecast'!Z87*'Title Inputs'!$C$33</f>
        <v>1339.38306002249</v>
      </c>
      <c r="AA119" s="41" t="n">
        <f aca="false">'Monthly Viewing Forecast'!AA87*'Title Inputs'!$C$33</f>
        <v>1196.06907260009</v>
      </c>
      <c r="AB119" s="41" t="n">
        <f aca="false">'Monthly Viewing Forecast'!AB87*'Title Inputs'!$C$33</f>
        <v>1068.08968183188</v>
      </c>
    </row>
    <row r="120" customFormat="false" ht="15" hidden="false" customHeight="false" outlineLevel="0" collapsed="false">
      <c r="A120" s="14"/>
      <c r="B120" s="9"/>
      <c r="C120" s="8" t="s">
        <v>216</v>
      </c>
      <c r="D120" s="34" t="n">
        <f aca="false">SUM(E120:AB120)</f>
        <v>1340673.75137849</v>
      </c>
      <c r="E120" s="34" t="n">
        <f aca="false">E115+E116-E117-E118-E119</f>
        <v>32567.4155540568</v>
      </c>
      <c r="F120" s="34" t="n">
        <f aca="false">F115+F116-F117-F118-F119</f>
        <v>119472.759589773</v>
      </c>
      <c r="G120" s="34" t="n">
        <f aca="false">G115+G116-G117-G118-G119</f>
        <v>123214.336813667</v>
      </c>
      <c r="H120" s="34" t="n">
        <f aca="false">H115+H116-H117-H118-H119</f>
        <v>114377.360774605</v>
      </c>
      <c r="I120" s="34" t="n">
        <f aca="false">I115+I116-I117-I118-I119</f>
        <v>113572.955171722</v>
      </c>
      <c r="J120" s="34" t="n">
        <f aca="false">J115+J116-J117-J118-J119</f>
        <v>101420.648968348</v>
      </c>
      <c r="K120" s="34" t="n">
        <f aca="false">K115+K116-K117-K118-K119</f>
        <v>90568.6395287345</v>
      </c>
      <c r="L120" s="34" t="n">
        <f aca="false">L115+L116-L117-L118-L119</f>
        <v>80877.7950991599</v>
      </c>
      <c r="M120" s="34" t="n">
        <f aca="false">M115+M116-M117-M118-M119</f>
        <v>72223.8710235498</v>
      </c>
      <c r="N120" s="34" t="n">
        <f aca="false">N115+N116-N117-N118-N119</f>
        <v>64495.91682403</v>
      </c>
      <c r="O120" s="34" t="n">
        <f aca="false">O115+O116-O117-O118-O119</f>
        <v>57594.8537238588</v>
      </c>
      <c r="P120" s="34" t="n">
        <f aca="false">P115+P116-P117-P118-P119</f>
        <v>51432.2043754059</v>
      </c>
      <c r="Q120" s="34" t="n">
        <f aca="false">Q115+Q116-Q117-Q118-Q119</f>
        <v>45928.9585072375</v>
      </c>
      <c r="R120" s="34" t="n">
        <f aca="false">R115+R116-R117-R118-R119</f>
        <v>41014.5599469631</v>
      </c>
      <c r="S120" s="34" t="n">
        <f aca="false">S115+S116-S117-S118-S119</f>
        <v>36626.002032638</v>
      </c>
      <c r="T120" s="34" t="n">
        <f aca="false">T115+T116-T117-T118-T119</f>
        <v>32707.0198151457</v>
      </c>
      <c r="U120" s="34" t="n">
        <f aca="false">U115+U116-U117-U118-U119</f>
        <v>29207.3686949251</v>
      </c>
      <c r="V120" s="34" t="n">
        <f aca="false">V115+V116-V117-V118-V119</f>
        <v>26082.1802445682</v>
      </c>
      <c r="W120" s="34" t="n">
        <f aca="false">W115+W116-W117-W118-W119</f>
        <v>23291.3869583994</v>
      </c>
      <c r="X120" s="34" t="n">
        <f aca="false">X115+X116-X117-X118-X119</f>
        <v>20799.2085538506</v>
      </c>
      <c r="Y120" s="34" t="n">
        <f aca="false">Y115+Y116-Y117-Y118-Y119</f>
        <v>18573.6932385886</v>
      </c>
      <c r="Z120" s="34" t="n">
        <f aca="false">Z115+Z116-Z117-Z118-Z119</f>
        <v>16586.3080620596</v>
      </c>
      <c r="AA120" s="34" t="n">
        <f aca="false">AA115+AA116-AA117-AA118-AA119</f>
        <v>14811.5730994193</v>
      </c>
      <c r="AB120" s="34" t="n">
        <f aca="false">AB115+AB116-AB117-AB118-AB119</f>
        <v>13226.7347777814</v>
      </c>
    </row>
    <row r="122" customFormat="false" ht="15" hidden="false" customHeight="false" outlineLevel="0" collapsed="false">
      <c r="A122" s="14" t="s">
        <v>210</v>
      </c>
      <c r="B122" s="8" t="s">
        <v>123</v>
      </c>
      <c r="C122" s="9" t="s">
        <v>213</v>
      </c>
      <c r="D122" s="34" t="n">
        <f aca="false">SUM(E122:AB122)</f>
        <v>948782.514087112</v>
      </c>
      <c r="E122" s="41" t="n">
        <f aca="false">'Monthly Viewing Forecast'!E95*Scenarios!$D$45</f>
        <v>112782.202842265</v>
      </c>
      <c r="F122" s="41" t="n">
        <f aca="false">'Monthly Viewing Forecast'!F95*Scenarios!$D$45</f>
        <v>100150.596123931</v>
      </c>
      <c r="G122" s="41" t="n">
        <f aca="false">'Monthly Viewing Forecast'!G95*Scenarios!$D$45</f>
        <v>88933.7293580507</v>
      </c>
      <c r="H122" s="41" t="n">
        <f aca="false">'Monthly Viewing Forecast'!H95*Scenarios!$D$45</f>
        <v>78973.151669949</v>
      </c>
      <c r="I122" s="41" t="n">
        <f aca="false">'Monthly Viewing Forecast'!I95*Scenarios!$D$45</f>
        <v>70128.1586829147</v>
      </c>
      <c r="J122" s="41" t="n">
        <f aca="false">'Monthly Viewing Forecast'!J95*Scenarios!$D$45</f>
        <v>62273.8049104283</v>
      </c>
      <c r="K122" s="41" t="n">
        <f aca="false">'Monthly Viewing Forecast'!K95*Scenarios!$D$45</f>
        <v>55299.1387604603</v>
      </c>
      <c r="L122" s="41" t="n">
        <f aca="false">'Monthly Viewing Forecast'!L95*Scenarios!$D$45</f>
        <v>49105.6352192888</v>
      </c>
      <c r="M122" s="41" t="n">
        <f aca="false">'Monthly Viewing Forecast'!M95*Scenarios!$D$45</f>
        <v>43605.8040747284</v>
      </c>
      <c r="N122" s="41" t="n">
        <f aca="false">'Monthly Viewing Forecast'!N95*Scenarios!$D$45</f>
        <v>38721.9540183589</v>
      </c>
      <c r="O122" s="41" t="n">
        <f aca="false">'Monthly Viewing Forecast'!O95*Scenarios!$D$45</f>
        <v>34385.0951683027</v>
      </c>
      <c r="P122" s="41" t="n">
        <f aca="false">'Monthly Viewing Forecast'!P95*Scenarios!$D$45</f>
        <v>30533.9645094528</v>
      </c>
      <c r="Q122" s="41" t="n">
        <f aca="false">'Monthly Viewing Forecast'!Q95*Scenarios!$D$45</f>
        <v>27114.160484394</v>
      </c>
      <c r="R122" s="41" t="n">
        <f aca="false">'Monthly Viewing Forecast'!R95*Scenarios!$D$45</f>
        <v>24077.3745101419</v>
      </c>
      <c r="S122" s="41" t="n">
        <f aca="false">'Monthly Viewing Forecast'!S95*Scenarios!$D$45</f>
        <v>21380.708565006</v>
      </c>
      <c r="T122" s="41" t="n">
        <f aca="false">'Monthly Viewing Forecast'!T95*Scenarios!$D$45</f>
        <v>18986.0692057253</v>
      </c>
      <c r="U122" s="41" t="n">
        <f aca="false">'Monthly Viewing Forecast'!U95*Scenarios!$D$45</f>
        <v>16859.6294546841</v>
      </c>
      <c r="V122" s="41" t="n">
        <f aca="false">'Monthly Viewing Forecast'!V95*Scenarios!$D$45</f>
        <v>14971.3509557595</v>
      </c>
      <c r="W122" s="41" t="n">
        <f aca="false">'Monthly Viewing Forecast'!W95*Scenarios!$D$45</f>
        <v>13294.5596487144</v>
      </c>
      <c r="X122" s="41" t="n">
        <f aca="false">'Monthly Viewing Forecast'!X95*Scenarios!$D$45</f>
        <v>11805.5689680584</v>
      </c>
      <c r="Y122" s="41" t="n">
        <f aca="false">'Monthly Viewing Forecast'!Y95*Scenarios!$D$45</f>
        <v>10483.3452436359</v>
      </c>
      <c r="Z122" s="41" t="n">
        <f aca="false">'Monthly Viewing Forecast'!Z95*Scenarios!$D$45</f>
        <v>9309.21057634865</v>
      </c>
      <c r="AA122" s="41" t="n">
        <f aca="false">'Monthly Viewing Forecast'!AA95*Scenarios!$D$45</f>
        <v>8266.5789917976</v>
      </c>
      <c r="AB122" s="41" t="n">
        <f aca="false">'Monthly Viewing Forecast'!AB95*Scenarios!$D$45</f>
        <v>7340.72214471627</v>
      </c>
    </row>
    <row r="123" customFormat="false" ht="15" hidden="false" customHeight="false" outlineLevel="0" collapsed="false">
      <c r="A123" s="14"/>
      <c r="B123" s="9"/>
      <c r="C123" s="9" t="s">
        <v>214</v>
      </c>
      <c r="D123" s="34" t="n">
        <f aca="false">SUM(E123:AB123)</f>
        <v>130023.670292584</v>
      </c>
      <c r="E123" s="41" t="n">
        <f aca="false">'Monthly Viewing Forecast'!E93*Scenarios!$D$45*'Title Inputs'!$D$34</f>
        <v>15455.9719846265</v>
      </c>
      <c r="F123" s="41" t="n">
        <f aca="false">'Monthly Viewing Forecast'!F93*Scenarios!$D$45*'Title Inputs'!$D$34</f>
        <v>13724.9031223484</v>
      </c>
      <c r="G123" s="41" t="n">
        <f aca="false">'Monthly Viewing Forecast'!G93*Scenarios!$D$45*'Title Inputs'!$D$34</f>
        <v>12187.7139726453</v>
      </c>
      <c r="H123" s="41" t="n">
        <f aca="false">'Monthly Viewing Forecast'!H93*Scenarios!$D$45*'Title Inputs'!$D$34</f>
        <v>10822.6900077091</v>
      </c>
      <c r="I123" s="41" t="n">
        <f aca="false">'Monthly Viewing Forecast'!I93*Scenarios!$D$45*'Title Inputs'!$D$34</f>
        <v>9610.54872684565</v>
      </c>
      <c r="J123" s="41" t="n">
        <f aca="false">'Monthly Viewing Forecast'!J93*Scenarios!$D$45*'Title Inputs'!$D$34</f>
        <v>8534.16726943894</v>
      </c>
      <c r="K123" s="41" t="n">
        <f aca="false">'Monthly Viewing Forecast'!K93*Scenarios!$D$45*'Title Inputs'!$D$34</f>
        <v>7578.34053526178</v>
      </c>
      <c r="L123" s="41" t="n">
        <f aca="false">'Monthly Viewing Forecast'!L93*Scenarios!$D$45*'Title Inputs'!$D$34</f>
        <v>6729.56639531246</v>
      </c>
      <c r="M123" s="41" t="n">
        <f aca="false">'Monthly Viewing Forecast'!M93*Scenarios!$D$45*'Title Inputs'!$D$34</f>
        <v>5975.85495903746</v>
      </c>
      <c r="N123" s="41" t="n">
        <f aca="false">'Monthly Viewing Forecast'!N93*Scenarios!$D$45*'Title Inputs'!$D$34</f>
        <v>5306.55920362527</v>
      </c>
      <c r="O123" s="41" t="n">
        <f aca="false">'Monthly Viewing Forecast'!O93*Scenarios!$D$45*'Title Inputs'!$D$34</f>
        <v>4712.22457281924</v>
      </c>
      <c r="P123" s="41" t="n">
        <f aca="false">'Monthly Viewing Forecast'!P93*Scenarios!$D$45*'Title Inputs'!$D$34</f>
        <v>4184.45542066348</v>
      </c>
      <c r="Q123" s="41" t="n">
        <f aca="false">'Monthly Viewing Forecast'!Q93*Scenarios!$D$45*'Title Inputs'!$D$34</f>
        <v>3715.79641354917</v>
      </c>
      <c r="R123" s="41" t="n">
        <f aca="false">'Monthly Viewing Forecast'!R93*Scenarios!$D$45*'Title Inputs'!$D$34</f>
        <v>3299.62721523167</v>
      </c>
      <c r="S123" s="41" t="n">
        <f aca="false">'Monthly Viewing Forecast'!S93*Scenarios!$D$45*'Title Inputs'!$D$34</f>
        <v>2930.06896712572</v>
      </c>
      <c r="T123" s="41" t="n">
        <f aca="false">'Monthly Viewing Forecast'!T93*Scenarios!$D$45*'Title Inputs'!$D$34</f>
        <v>2601.90124280764</v>
      </c>
      <c r="U123" s="41" t="n">
        <f aca="false">'Monthly Viewing Forecast'!U93*Scenarios!$D$45*'Title Inputs'!$D$34</f>
        <v>2310.48830361318</v>
      </c>
      <c r="V123" s="41" t="n">
        <f aca="false">'Monthly Viewing Forecast'!V93*Scenarios!$D$45*'Title Inputs'!$D$34</f>
        <v>2051.71361360851</v>
      </c>
      <c r="W123" s="41" t="n">
        <f aca="false">'Monthly Viewing Forecast'!W93*Scenarios!$D$45*'Title Inputs'!$D$34</f>
        <v>1821.92168888435</v>
      </c>
      <c r="X123" s="41" t="n">
        <f aca="false">'Monthly Viewing Forecast'!X93*Scenarios!$D$45*'Title Inputs'!$D$34</f>
        <v>1617.86645972931</v>
      </c>
      <c r="Y123" s="41" t="n">
        <f aca="false">'Monthly Viewing Forecast'!Y93*Scenarios!$D$45*'Title Inputs'!$D$34</f>
        <v>1436.66541623962</v>
      </c>
      <c r="Z123" s="41" t="n">
        <f aca="false">'Monthly Viewing Forecast'!Z93*Scenarios!$D$45*'Title Inputs'!$D$34</f>
        <v>1275.75888962079</v>
      </c>
      <c r="AA123" s="41" t="n">
        <f aca="false">'Monthly Viewing Forecast'!AA93*Scenarios!$D$45*'Title Inputs'!$D$34</f>
        <v>1132.87389398326</v>
      </c>
      <c r="AB123" s="41" t="n">
        <f aca="false">'Monthly Viewing Forecast'!AB93*Scenarios!$D$45*'Title Inputs'!$D$34</f>
        <v>1005.99201785713</v>
      </c>
    </row>
    <row r="124" customFormat="false" ht="15" hidden="false" customHeight="false" outlineLevel="0" collapsed="false">
      <c r="A124" s="14"/>
      <c r="B124" s="9"/>
      <c r="C124" s="9" t="s">
        <v>170</v>
      </c>
      <c r="D124" s="34" t="n">
        <f aca="false">SUM(E124:AB124)</f>
        <v>126100</v>
      </c>
      <c r="E124" s="41" t="n">
        <f aca="false">Scenarios!$D$46*INDEX(Assumptions!$C$23:$C$26,E$4)</f>
        <v>69355</v>
      </c>
      <c r="F124" s="41" t="n">
        <f aca="false">Scenarios!$D$46*INDEX(Assumptions!$C$23:$C$26,F$4)</f>
        <v>31525</v>
      </c>
      <c r="G124" s="41" t="n">
        <f aca="false">Scenarios!$D$46*INDEX(Assumptions!$C$23:$C$26,G$4)</f>
        <v>15132</v>
      </c>
      <c r="H124" s="41" t="n">
        <f aca="false">Scenarios!$D$46*INDEX(Assumptions!$C$23:$C$26,H$4)</f>
        <v>10088</v>
      </c>
      <c r="I124" s="41" t="n">
        <f aca="false">0</f>
        <v>0</v>
      </c>
      <c r="J124" s="41" t="n">
        <f aca="false">0</f>
        <v>0</v>
      </c>
      <c r="K124" s="41" t="n">
        <f aca="false">0</f>
        <v>0</v>
      </c>
      <c r="L124" s="41" t="n">
        <f aca="false">0</f>
        <v>0</v>
      </c>
      <c r="M124" s="41" t="n">
        <f aca="false">0</f>
        <v>0</v>
      </c>
      <c r="N124" s="41" t="n">
        <f aca="false">0</f>
        <v>0</v>
      </c>
      <c r="O124" s="41" t="n">
        <f aca="false">0</f>
        <v>0</v>
      </c>
      <c r="P124" s="41" t="n">
        <f aca="false">0</f>
        <v>0</v>
      </c>
      <c r="Q124" s="41" t="n">
        <f aca="false">0</f>
        <v>0</v>
      </c>
      <c r="R124" s="41" t="n">
        <f aca="false">0</f>
        <v>0</v>
      </c>
      <c r="S124" s="41" t="n">
        <f aca="false">0</f>
        <v>0</v>
      </c>
      <c r="T124" s="41" t="n">
        <f aca="false">0</f>
        <v>0</v>
      </c>
      <c r="U124" s="41" t="n">
        <f aca="false">0</f>
        <v>0</v>
      </c>
      <c r="V124" s="41" t="n">
        <f aca="false">0</f>
        <v>0</v>
      </c>
      <c r="W124" s="41" t="n">
        <f aca="false">0</f>
        <v>0</v>
      </c>
      <c r="X124" s="41" t="n">
        <f aca="false">0</f>
        <v>0</v>
      </c>
      <c r="Y124" s="41" t="n">
        <f aca="false">0</f>
        <v>0</v>
      </c>
      <c r="Z124" s="41" t="n">
        <f aca="false">0</f>
        <v>0</v>
      </c>
      <c r="AA124" s="41" t="n">
        <f aca="false">0</f>
        <v>0</v>
      </c>
      <c r="AB124" s="41" t="n">
        <f aca="false">0</f>
        <v>0</v>
      </c>
    </row>
    <row r="125" customFormat="false" ht="15" hidden="false" customHeight="false" outlineLevel="0" collapsed="false">
      <c r="A125" s="14"/>
      <c r="B125" s="9"/>
      <c r="C125" s="9" t="s">
        <v>171</v>
      </c>
      <c r="D125" s="34" t="n">
        <f aca="false">SUM(E125:AB125)</f>
        <v>52000</v>
      </c>
      <c r="E125" s="41" t="n">
        <f aca="false">'Title Inputs'!$D$32</f>
        <v>52000</v>
      </c>
      <c r="F125" s="41" t="n">
        <f aca="false">0</f>
        <v>0</v>
      </c>
      <c r="G125" s="41" t="n">
        <f aca="false">0</f>
        <v>0</v>
      </c>
      <c r="H125" s="41" t="n">
        <f aca="false">0</f>
        <v>0</v>
      </c>
      <c r="I125" s="41" t="n">
        <f aca="false">0</f>
        <v>0</v>
      </c>
      <c r="J125" s="41" t="n">
        <f aca="false">0</f>
        <v>0</v>
      </c>
      <c r="K125" s="41" t="n">
        <f aca="false">0</f>
        <v>0</v>
      </c>
      <c r="L125" s="41" t="n">
        <f aca="false">0</f>
        <v>0</v>
      </c>
      <c r="M125" s="41" t="n">
        <f aca="false">0</f>
        <v>0</v>
      </c>
      <c r="N125" s="41" t="n">
        <f aca="false">0</f>
        <v>0</v>
      </c>
      <c r="O125" s="41" t="n">
        <f aca="false">0</f>
        <v>0</v>
      </c>
      <c r="P125" s="41" t="n">
        <f aca="false">0</f>
        <v>0</v>
      </c>
      <c r="Q125" s="41" t="n">
        <f aca="false">0</f>
        <v>0</v>
      </c>
      <c r="R125" s="41" t="n">
        <f aca="false">0</f>
        <v>0</v>
      </c>
      <c r="S125" s="41" t="n">
        <f aca="false">0</f>
        <v>0</v>
      </c>
      <c r="T125" s="41" t="n">
        <f aca="false">0</f>
        <v>0</v>
      </c>
      <c r="U125" s="41" t="n">
        <f aca="false">0</f>
        <v>0</v>
      </c>
      <c r="V125" s="41" t="n">
        <f aca="false">0</f>
        <v>0</v>
      </c>
      <c r="W125" s="41" t="n">
        <f aca="false">0</f>
        <v>0</v>
      </c>
      <c r="X125" s="41" t="n">
        <f aca="false">0</f>
        <v>0</v>
      </c>
      <c r="Y125" s="41" t="n">
        <f aca="false">0</f>
        <v>0</v>
      </c>
      <c r="Z125" s="41" t="n">
        <f aca="false">0</f>
        <v>0</v>
      </c>
      <c r="AA125" s="41" t="n">
        <f aca="false">0</f>
        <v>0</v>
      </c>
      <c r="AB125" s="41" t="n">
        <f aca="false">0</f>
        <v>0</v>
      </c>
    </row>
    <row r="126" customFormat="false" ht="15" hidden="false" customHeight="false" outlineLevel="0" collapsed="false">
      <c r="A126" s="14"/>
      <c r="B126" s="9"/>
      <c r="C126" s="9" t="s">
        <v>215</v>
      </c>
      <c r="D126" s="34" t="n">
        <f aca="false">SUM(E126:AB126)</f>
        <v>91896.3558962577</v>
      </c>
      <c r="E126" s="41" t="n">
        <f aca="false">'Monthly Viewing Forecast'!E93*'Title Inputs'!$D$33</f>
        <v>10923.7610277091</v>
      </c>
      <c r="F126" s="41" t="n">
        <f aca="false">'Monthly Viewing Forecast'!F93*'Title Inputs'!$D$33</f>
        <v>9700.29979260569</v>
      </c>
      <c r="G126" s="41" t="n">
        <f aca="false">'Monthly Viewing Forecast'!G93*'Title Inputs'!$D$33</f>
        <v>8613.86621583386</v>
      </c>
      <c r="H126" s="41" t="n">
        <f aca="false">'Monthly Viewing Forecast'!H93*'Title Inputs'!$D$33</f>
        <v>7649.11319966046</v>
      </c>
      <c r="I126" s="41" t="n">
        <f aca="false">'Monthly Viewing Forecast'!I93*'Title Inputs'!$D$33</f>
        <v>6792.41252129849</v>
      </c>
      <c r="J126" s="41" t="n">
        <f aca="false">'Monthly Viewing Forecast'!J93*'Title Inputs'!$D$33</f>
        <v>6031.66231891306</v>
      </c>
      <c r="K126" s="41" t="n">
        <f aca="false">'Monthly Viewing Forecast'!K93*'Title Inputs'!$D$33</f>
        <v>5356.1161391948</v>
      </c>
      <c r="L126" s="41" t="n">
        <f aca="false">'Monthly Viewing Forecast'!L93*'Title Inputs'!$D$33</f>
        <v>4756.23113160498</v>
      </c>
      <c r="M126" s="41" t="n">
        <f aca="false">'Monthly Viewing Forecast'!M93*'Title Inputs'!$D$33</f>
        <v>4223.53324486522</v>
      </c>
      <c r="N126" s="41" t="n">
        <f aca="false">'Monthly Viewing Forecast'!N93*'Title Inputs'!$D$33</f>
        <v>3750.49752144032</v>
      </c>
      <c r="O126" s="41" t="n">
        <f aca="false">'Monthly Viewing Forecast'!O93*'Title Inputs'!$D$33</f>
        <v>3330.441799039</v>
      </c>
      <c r="P126" s="41" t="n">
        <f aca="false">'Monthly Viewing Forecast'!P93*'Title Inputs'!$D$33</f>
        <v>2957.43231754663</v>
      </c>
      <c r="Q126" s="41" t="n">
        <f aca="false">'Monthly Viewing Forecast'!Q93*'Title Inputs'!$D$33</f>
        <v>2626.19989798141</v>
      </c>
      <c r="R126" s="41" t="n">
        <f aca="false">'Monthly Viewing Forecast'!R93*'Title Inputs'!$D$33</f>
        <v>2332.06550940749</v>
      </c>
      <c r="S126" s="41" t="n">
        <f aca="false">'Monthly Viewing Forecast'!S93*'Title Inputs'!$D$33</f>
        <v>2070.87417235385</v>
      </c>
      <c r="T126" s="41" t="n">
        <f aca="false">'Monthly Viewing Forecast'!T93*'Title Inputs'!$D$33</f>
        <v>1838.93626505022</v>
      </c>
      <c r="U126" s="41" t="n">
        <f aca="false">'Monthly Viewing Forecast'!U93*'Title Inputs'!$D$33</f>
        <v>1632.9754033646</v>
      </c>
      <c r="V126" s="41" t="n">
        <f aca="false">'Monthly Viewing Forecast'!V93*'Title Inputs'!$D$33</f>
        <v>1450.08215818776</v>
      </c>
      <c r="W126" s="41" t="n">
        <f aca="false">'Monthly Viewing Forecast'!W93*'Title Inputs'!$D$33</f>
        <v>1287.67295647073</v>
      </c>
      <c r="X126" s="41" t="n">
        <f aca="false">'Monthly Viewing Forecast'!X93*'Title Inputs'!$D$33</f>
        <v>1143.45358534601</v>
      </c>
      <c r="Y126" s="41" t="n">
        <f aca="false">'Monthly Viewing Forecast'!Y93*'Title Inputs'!$D$33</f>
        <v>1015.38678378726</v>
      </c>
      <c r="Z126" s="41" t="n">
        <f aca="false">'Monthly Viewing Forecast'!Z93*'Title Inputs'!$D$33</f>
        <v>901.663464003085</v>
      </c>
      <c r="AA126" s="41" t="n">
        <f aca="false">'Monthly Viewing Forecast'!AA93*'Title Inputs'!$D$33</f>
        <v>800.67715603474</v>
      </c>
      <c r="AB126" s="41" t="n">
        <f aca="false">'Monthly Viewing Forecast'!AB93*'Title Inputs'!$D$33</f>
        <v>711.001314558849</v>
      </c>
    </row>
    <row r="127" customFormat="false" ht="15" hidden="false" customHeight="false" outlineLevel="0" collapsed="false">
      <c r="A127" s="14"/>
      <c r="B127" s="9"/>
      <c r="C127" s="8" t="s">
        <v>216</v>
      </c>
      <c r="D127" s="34" t="n">
        <f aca="false">SUM(E127:AB127)</f>
        <v>808809.828483439</v>
      </c>
      <c r="E127" s="34" t="n">
        <f aca="false">E122+E123-E124-E125-E126</f>
        <v>-4040.58620081795</v>
      </c>
      <c r="F127" s="34" t="n">
        <f aca="false">F122+F123-F124-F125-F126</f>
        <v>72650.1994536737</v>
      </c>
      <c r="G127" s="34" t="n">
        <f aca="false">G122+G123-G124-G125-G126</f>
        <v>77375.5771148622</v>
      </c>
      <c r="H127" s="34" t="n">
        <f aca="false">H122+H123-H124-H125-H126</f>
        <v>72058.7284779976</v>
      </c>
      <c r="I127" s="34" t="n">
        <f aca="false">I122+I123-I124-I125-I126</f>
        <v>72946.2948884619</v>
      </c>
      <c r="J127" s="34" t="n">
        <f aca="false">J122+J123-J124-J125-J126</f>
        <v>64776.3098609542</v>
      </c>
      <c r="K127" s="34" t="n">
        <f aca="false">K122+K123-K124-K125-K126</f>
        <v>57521.3631565273</v>
      </c>
      <c r="L127" s="34" t="n">
        <f aca="false">L122+L123-L124-L125-L126</f>
        <v>51078.9704829963</v>
      </c>
      <c r="M127" s="34" t="n">
        <f aca="false">M122+M123-M124-M125-M126</f>
        <v>45358.1257889007</v>
      </c>
      <c r="N127" s="34" t="n">
        <f aca="false">N122+N123-N124-N125-N126</f>
        <v>40278.0157005438</v>
      </c>
      <c r="O127" s="34" t="n">
        <f aca="false">O122+O123-O124-O125-O126</f>
        <v>35766.8779420829</v>
      </c>
      <c r="P127" s="34" t="n">
        <f aca="false">P122+P123-P124-P125-P126</f>
        <v>31760.9876125696</v>
      </c>
      <c r="Q127" s="34" t="n">
        <f aca="false">Q122+Q123-Q124-Q125-Q126</f>
        <v>28203.7569999618</v>
      </c>
      <c r="R127" s="34" t="n">
        <f aca="false">R122+R123-R124-R125-R126</f>
        <v>25044.9362159661</v>
      </c>
      <c r="S127" s="34" t="n">
        <f aca="false">S122+S123-S124-S125-S126</f>
        <v>22239.9033597779</v>
      </c>
      <c r="T127" s="34" t="n">
        <f aca="false">T122+T123-T124-T125-T126</f>
        <v>19749.0341834828</v>
      </c>
      <c r="U127" s="34" t="n">
        <f aca="false">U122+U123-U124-U125-U126</f>
        <v>17537.1423549327</v>
      </c>
      <c r="V127" s="34" t="n">
        <f aca="false">V122+V123-V124-V125-V126</f>
        <v>15572.9824111802</v>
      </c>
      <c r="W127" s="34" t="n">
        <f aca="false">W122+W123-W124-W125-W126</f>
        <v>13828.8083811281</v>
      </c>
      <c r="X127" s="34" t="n">
        <f aca="false">X122+X123-X124-X125-X126</f>
        <v>12279.9818424417</v>
      </c>
      <c r="Y127" s="34" t="n">
        <f aca="false">Y122+Y123-Y124-Y125-Y126</f>
        <v>10904.6238760882</v>
      </c>
      <c r="Z127" s="34" t="n">
        <f aca="false">Z122+Z123-Z124-Z125-Z126</f>
        <v>9683.30600196635</v>
      </c>
      <c r="AA127" s="34" t="n">
        <f aca="false">AA122+AA123-AA124-AA125-AA126</f>
        <v>8598.77572974612</v>
      </c>
      <c r="AB127" s="34" t="n">
        <f aca="false">AB122+AB123-AB124-AB125-AB126</f>
        <v>7635.71284801456</v>
      </c>
    </row>
    <row r="129" customFormat="false" ht="15" hidden="false" customHeight="false" outlineLevel="0" collapsed="false">
      <c r="A129" s="14" t="s">
        <v>210</v>
      </c>
      <c r="B129" s="8" t="s">
        <v>124</v>
      </c>
      <c r="C129" s="9" t="s">
        <v>213</v>
      </c>
      <c r="D129" s="34" t="n">
        <f aca="false">SUM(E129:AB129)</f>
        <v>597764.379999022</v>
      </c>
      <c r="E129" s="41" t="n">
        <f aca="false">'Monthly Viewing Forecast'!E101*Scenarios!$E$45</f>
        <v>75231.0250699591</v>
      </c>
      <c r="F129" s="41" t="n">
        <f aca="false">'Monthly Viewing Forecast'!F101*Scenarios!$E$45</f>
        <v>66203.302061564</v>
      </c>
      <c r="G129" s="41" t="n">
        <f aca="false">'Monthly Viewing Forecast'!G101*Scenarios!$E$45</f>
        <v>58258.9058141764</v>
      </c>
      <c r="H129" s="41" t="n">
        <f aca="false">'Monthly Viewing Forecast'!H101*Scenarios!$E$45</f>
        <v>51267.8371164752</v>
      </c>
      <c r="I129" s="41" t="n">
        <f aca="false">'Monthly Viewing Forecast'!I101*Scenarios!$E$45</f>
        <v>45115.6966624982</v>
      </c>
      <c r="J129" s="41" t="n">
        <f aca="false">'Monthly Viewing Forecast'!J101*Scenarios!$E$45</f>
        <v>39701.8130629984</v>
      </c>
      <c r="K129" s="41" t="n">
        <f aca="false">'Monthly Viewing Forecast'!K101*Scenarios!$E$45</f>
        <v>34937.5954954386</v>
      </c>
      <c r="L129" s="41" t="n">
        <f aca="false">'Monthly Viewing Forecast'!L101*Scenarios!$E$45</f>
        <v>30745.0840359859</v>
      </c>
      <c r="M129" s="41" t="n">
        <f aca="false">'Monthly Viewing Forecast'!M101*Scenarios!$E$45</f>
        <v>27055.6739516676</v>
      </c>
      <c r="N129" s="41" t="n">
        <f aca="false">'Monthly Viewing Forecast'!N101*Scenarios!$E$45</f>
        <v>23808.9930774675</v>
      </c>
      <c r="O129" s="41" t="n">
        <f aca="false">'Monthly Viewing Forecast'!O101*Scenarios!$E$45</f>
        <v>20951.9139081714</v>
      </c>
      <c r="P129" s="41" t="n">
        <f aca="false">'Monthly Viewing Forecast'!P101*Scenarios!$E$45</f>
        <v>18437.6842391908</v>
      </c>
      <c r="Q129" s="41" t="n">
        <f aca="false">'Monthly Viewing Forecast'!Q101*Scenarios!$E$45</f>
        <v>16225.1621304879</v>
      </c>
      <c r="R129" s="41" t="n">
        <f aca="false">'Monthly Viewing Forecast'!R101*Scenarios!$E$45</f>
        <v>14278.1426748294</v>
      </c>
      <c r="S129" s="41" t="n">
        <f aca="false">'Monthly Viewing Forecast'!S101*Scenarios!$E$45</f>
        <v>12564.7655538499</v>
      </c>
      <c r="T129" s="41" t="n">
        <f aca="false">'Monthly Viewing Forecast'!T101*Scenarios!$E$45</f>
        <v>11056.9936873879</v>
      </c>
      <c r="U129" s="41" t="n">
        <f aca="false">'Monthly Viewing Forecast'!U101*Scenarios!$E$45</f>
        <v>9730.15444490134</v>
      </c>
      <c r="V129" s="41" t="n">
        <f aca="false">'Monthly Viewing Forecast'!V101*Scenarios!$E$45</f>
        <v>8562.53591151317</v>
      </c>
      <c r="W129" s="41" t="n">
        <f aca="false">'Monthly Viewing Forecast'!W101*Scenarios!$E$45</f>
        <v>7535.03160213159</v>
      </c>
      <c r="X129" s="41" t="n">
        <f aca="false">'Monthly Viewing Forecast'!X101*Scenarios!$E$45</f>
        <v>6630.8278098758</v>
      </c>
      <c r="Y129" s="41" t="n">
        <f aca="false">'Monthly Viewing Forecast'!Y101*Scenarios!$E$45</f>
        <v>5835.12847269071</v>
      </c>
      <c r="Z129" s="41" t="n">
        <f aca="false">'Monthly Viewing Forecast'!Z101*Scenarios!$E$45</f>
        <v>5134.91305596782</v>
      </c>
      <c r="AA129" s="41" t="n">
        <f aca="false">'Monthly Viewing Forecast'!AA101*Scenarios!$E$45</f>
        <v>4518.72348925168</v>
      </c>
      <c r="AB129" s="41" t="n">
        <f aca="false">'Monthly Viewing Forecast'!AB101*Scenarios!$E$45</f>
        <v>3976.47667054148</v>
      </c>
    </row>
    <row r="130" customFormat="false" ht="15" hidden="false" customHeight="false" outlineLevel="0" collapsed="false">
      <c r="A130" s="14"/>
      <c r="B130" s="9"/>
      <c r="C130" s="9" t="s">
        <v>214</v>
      </c>
      <c r="D130" s="34" t="n">
        <f aca="false">SUM(E130:AB130)</f>
        <v>89341.3485278009</v>
      </c>
      <c r="E130" s="41" t="n">
        <f aca="false">'Monthly Viewing Forecast'!E99*Scenarios!$E$45*'Title Inputs'!$E$34</f>
        <v>11243.9641031972</v>
      </c>
      <c r="F130" s="41" t="n">
        <f aca="false">'Monthly Viewing Forecast'!F99*Scenarios!$E$45*'Title Inputs'!$E$34</f>
        <v>9894.68841081355</v>
      </c>
      <c r="G130" s="41" t="n">
        <f aca="false">'Monthly Viewing Forecast'!G99*Scenarios!$E$45*'Title Inputs'!$E$34</f>
        <v>8707.32580151593</v>
      </c>
      <c r="H130" s="41" t="n">
        <f aca="false">'Monthly Viewing Forecast'!H99*Scenarios!$E$45*'Title Inputs'!$E$34</f>
        <v>7662.44670533401</v>
      </c>
      <c r="I130" s="41" t="n">
        <f aca="false">'Monthly Viewing Forecast'!I99*Scenarios!$E$45*'Title Inputs'!$E$34</f>
        <v>6742.95310069393</v>
      </c>
      <c r="J130" s="41" t="n">
        <f aca="false">'Monthly Viewing Forecast'!J99*Scenarios!$E$45*'Title Inputs'!$E$34</f>
        <v>5933.79872861066</v>
      </c>
      <c r="K130" s="41" t="n">
        <f aca="false">'Monthly Viewing Forecast'!K99*Scenarios!$E$45*'Title Inputs'!$E$34</f>
        <v>5221.74288117738</v>
      </c>
      <c r="L130" s="41" t="n">
        <f aca="false">'Monthly Viewing Forecast'!L99*Scenarios!$E$45*'Title Inputs'!$E$34</f>
        <v>4595.1337354361</v>
      </c>
      <c r="M130" s="41" t="n">
        <f aca="false">'Monthly Viewing Forecast'!M99*Scenarios!$E$45*'Title Inputs'!$E$34</f>
        <v>4043.71768718376</v>
      </c>
      <c r="N130" s="41" t="n">
        <f aca="false">'Monthly Viewing Forecast'!N99*Scenarios!$E$45*'Title Inputs'!$E$34</f>
        <v>3558.47156472171</v>
      </c>
      <c r="O130" s="41" t="n">
        <f aca="false">'Monthly Viewing Forecast'!O99*Scenarios!$E$45*'Title Inputs'!$E$34</f>
        <v>3131.45497695511</v>
      </c>
      <c r="P130" s="41" t="n">
        <f aca="false">'Monthly Viewing Forecast'!P99*Scenarios!$E$45*'Title Inputs'!$E$34</f>
        <v>2755.68037972049</v>
      </c>
      <c r="Q130" s="41" t="n">
        <f aca="false">'Monthly Viewing Forecast'!Q99*Scenarios!$E$45*'Title Inputs'!$E$34</f>
        <v>2424.99873415403</v>
      </c>
      <c r="R130" s="41" t="n">
        <f aca="false">'Monthly Viewing Forecast'!R99*Scenarios!$E$45*'Title Inputs'!$E$34</f>
        <v>2133.99888605555</v>
      </c>
      <c r="S130" s="41" t="n">
        <f aca="false">'Monthly Viewing Forecast'!S99*Scenarios!$E$45*'Title Inputs'!$E$34</f>
        <v>1877.91901972888</v>
      </c>
      <c r="T130" s="41" t="n">
        <f aca="false">'Monthly Viewing Forecast'!T99*Scenarios!$E$45*'Title Inputs'!$E$34</f>
        <v>1652.56873736142</v>
      </c>
      <c r="U130" s="41" t="n">
        <f aca="false">'Monthly Viewing Forecast'!U99*Scenarios!$E$45*'Title Inputs'!$E$34</f>
        <v>1454.26048887805</v>
      </c>
      <c r="V130" s="41" t="n">
        <f aca="false">'Monthly Viewing Forecast'!V99*Scenarios!$E$45*'Title Inputs'!$E$34</f>
        <v>1279.74923021268</v>
      </c>
      <c r="W130" s="41" t="n">
        <f aca="false">'Monthly Viewing Forecast'!W99*Scenarios!$E$45*'Title Inputs'!$E$34</f>
        <v>1126.17932258716</v>
      </c>
      <c r="X130" s="41" t="n">
        <f aca="false">'Monthly Viewing Forecast'!X99*Scenarios!$E$45*'Title Inputs'!$E$34</f>
        <v>991.037803876701</v>
      </c>
      <c r="Y130" s="41" t="n">
        <f aca="false">'Monthly Viewing Forecast'!Y99*Scenarios!$E$45*'Title Inputs'!$E$34</f>
        <v>872.113267411497</v>
      </c>
      <c r="Z130" s="41" t="n">
        <f aca="false">'Monthly Viewing Forecast'!Z99*Scenarios!$E$45*'Title Inputs'!$E$34</f>
        <v>767.459675322117</v>
      </c>
      <c r="AA130" s="41" t="n">
        <f aca="false">'Monthly Viewing Forecast'!AA99*Scenarios!$E$45*'Title Inputs'!$E$34</f>
        <v>675.364514283463</v>
      </c>
      <c r="AB130" s="41" t="n">
        <f aca="false">'Monthly Viewing Forecast'!AB99*Scenarios!$E$45*'Title Inputs'!$E$34</f>
        <v>594.320772569448</v>
      </c>
    </row>
    <row r="131" customFormat="false" ht="15" hidden="false" customHeight="false" outlineLevel="0" collapsed="false">
      <c r="A131" s="14"/>
      <c r="B131" s="9"/>
      <c r="C131" s="9" t="s">
        <v>170</v>
      </c>
      <c r="D131" s="34" t="n">
        <f aca="false">SUM(E131:AB131)</f>
        <v>97000</v>
      </c>
      <c r="E131" s="41" t="n">
        <f aca="false">Scenarios!$E$46*INDEX(Assumptions!$C$23:$C$26,E$4)</f>
        <v>53350</v>
      </c>
      <c r="F131" s="41" t="n">
        <f aca="false">Scenarios!$E$46*INDEX(Assumptions!$C$23:$C$26,F$4)</f>
        <v>24250</v>
      </c>
      <c r="G131" s="41" t="n">
        <f aca="false">Scenarios!$E$46*INDEX(Assumptions!$C$23:$C$26,G$4)</f>
        <v>11640</v>
      </c>
      <c r="H131" s="41" t="n">
        <f aca="false">Scenarios!$E$46*INDEX(Assumptions!$C$23:$C$26,H$4)</f>
        <v>7760</v>
      </c>
      <c r="I131" s="41" t="n">
        <f aca="false">0</f>
        <v>0</v>
      </c>
      <c r="J131" s="41" t="n">
        <f aca="false">0</f>
        <v>0</v>
      </c>
      <c r="K131" s="41" t="n">
        <f aca="false">0</f>
        <v>0</v>
      </c>
      <c r="L131" s="41" t="n">
        <f aca="false">0</f>
        <v>0</v>
      </c>
      <c r="M131" s="41" t="n">
        <f aca="false">0</f>
        <v>0</v>
      </c>
      <c r="N131" s="41" t="n">
        <f aca="false">0</f>
        <v>0</v>
      </c>
      <c r="O131" s="41" t="n">
        <f aca="false">0</f>
        <v>0</v>
      </c>
      <c r="P131" s="41" t="n">
        <f aca="false">0</f>
        <v>0</v>
      </c>
      <c r="Q131" s="41" t="n">
        <f aca="false">0</f>
        <v>0</v>
      </c>
      <c r="R131" s="41" t="n">
        <f aca="false">0</f>
        <v>0</v>
      </c>
      <c r="S131" s="41" t="n">
        <f aca="false">0</f>
        <v>0</v>
      </c>
      <c r="T131" s="41" t="n">
        <f aca="false">0</f>
        <v>0</v>
      </c>
      <c r="U131" s="41" t="n">
        <f aca="false">0</f>
        <v>0</v>
      </c>
      <c r="V131" s="41" t="n">
        <f aca="false">0</f>
        <v>0</v>
      </c>
      <c r="W131" s="41" t="n">
        <f aca="false">0</f>
        <v>0</v>
      </c>
      <c r="X131" s="41" t="n">
        <f aca="false">0</f>
        <v>0</v>
      </c>
      <c r="Y131" s="41" t="n">
        <f aca="false">0</f>
        <v>0</v>
      </c>
      <c r="Z131" s="41" t="n">
        <f aca="false">0</f>
        <v>0</v>
      </c>
      <c r="AA131" s="41" t="n">
        <f aca="false">0</f>
        <v>0</v>
      </c>
      <c r="AB131" s="41" t="n">
        <f aca="false">0</f>
        <v>0</v>
      </c>
    </row>
    <row r="132" customFormat="false" ht="15" hidden="false" customHeight="false" outlineLevel="0" collapsed="false">
      <c r="A132" s="14"/>
      <c r="B132" s="9"/>
      <c r="C132" s="9" t="s">
        <v>171</v>
      </c>
      <c r="D132" s="34" t="n">
        <f aca="false">SUM(E132:AB132)</f>
        <v>46000</v>
      </c>
      <c r="E132" s="41" t="n">
        <f aca="false">'Title Inputs'!$E$32</f>
        <v>46000</v>
      </c>
      <c r="F132" s="41" t="n">
        <f aca="false">0</f>
        <v>0</v>
      </c>
      <c r="G132" s="41" t="n">
        <f aca="false">0</f>
        <v>0</v>
      </c>
      <c r="H132" s="41" t="n">
        <f aca="false">0</f>
        <v>0</v>
      </c>
      <c r="I132" s="41" t="n">
        <f aca="false">0</f>
        <v>0</v>
      </c>
      <c r="J132" s="41" t="n">
        <f aca="false">0</f>
        <v>0</v>
      </c>
      <c r="K132" s="41" t="n">
        <f aca="false">0</f>
        <v>0</v>
      </c>
      <c r="L132" s="41" t="n">
        <f aca="false">0</f>
        <v>0</v>
      </c>
      <c r="M132" s="41" t="n">
        <f aca="false">0</f>
        <v>0</v>
      </c>
      <c r="N132" s="41" t="n">
        <f aca="false">0</f>
        <v>0</v>
      </c>
      <c r="O132" s="41" t="n">
        <f aca="false">0</f>
        <v>0</v>
      </c>
      <c r="P132" s="41" t="n">
        <f aca="false">0</f>
        <v>0</v>
      </c>
      <c r="Q132" s="41" t="n">
        <f aca="false">0</f>
        <v>0</v>
      </c>
      <c r="R132" s="41" t="n">
        <f aca="false">0</f>
        <v>0</v>
      </c>
      <c r="S132" s="41" t="n">
        <f aca="false">0</f>
        <v>0</v>
      </c>
      <c r="T132" s="41" t="n">
        <f aca="false">0</f>
        <v>0</v>
      </c>
      <c r="U132" s="41" t="n">
        <f aca="false">0</f>
        <v>0</v>
      </c>
      <c r="V132" s="41" t="n">
        <f aca="false">0</f>
        <v>0</v>
      </c>
      <c r="W132" s="41" t="n">
        <f aca="false">0</f>
        <v>0</v>
      </c>
      <c r="X132" s="41" t="n">
        <f aca="false">0</f>
        <v>0</v>
      </c>
      <c r="Y132" s="41" t="n">
        <f aca="false">0</f>
        <v>0</v>
      </c>
      <c r="Z132" s="41" t="n">
        <f aca="false">0</f>
        <v>0</v>
      </c>
      <c r="AA132" s="41" t="n">
        <f aca="false">0</f>
        <v>0</v>
      </c>
      <c r="AB132" s="41" t="n">
        <f aca="false">0</f>
        <v>0</v>
      </c>
    </row>
    <row r="133" customFormat="false" ht="15" hidden="false" customHeight="false" outlineLevel="0" collapsed="false">
      <c r="A133" s="14"/>
      <c r="B133" s="9"/>
      <c r="C133" s="9" t="s">
        <v>215</v>
      </c>
      <c r="D133" s="34" t="n">
        <f aca="false">SUM(E133:AB133)</f>
        <v>66587.6482113647</v>
      </c>
      <c r="E133" s="41" t="n">
        <f aca="false">'Monthly Viewing Forecast'!E99*'Title Inputs'!$E$33</f>
        <v>8380.32040642334</v>
      </c>
      <c r="F133" s="41" t="n">
        <f aca="false">'Monthly Viewing Forecast'!F99*'Title Inputs'!$E$33</f>
        <v>7374.68195765254</v>
      </c>
      <c r="G133" s="41" t="n">
        <f aca="false">'Monthly Viewing Forecast'!G99*'Title Inputs'!$E$33</f>
        <v>6489.72012273424</v>
      </c>
      <c r="H133" s="41" t="n">
        <f aca="false">'Monthly Viewing Forecast'!H99*'Title Inputs'!$E$33</f>
        <v>5710.95370800613</v>
      </c>
      <c r="I133" s="41" t="n">
        <f aca="false">'Monthly Viewing Forecast'!I99*'Title Inputs'!$E$33</f>
        <v>5025.63926304539</v>
      </c>
      <c r="J133" s="41" t="n">
        <f aca="false">'Monthly Viewing Forecast'!J99*'Title Inputs'!$E$33</f>
        <v>4422.56255147995</v>
      </c>
      <c r="K133" s="41" t="n">
        <f aca="false">'Monthly Viewing Forecast'!K99*'Title Inputs'!$E$33</f>
        <v>3891.85504530235</v>
      </c>
      <c r="L133" s="41" t="n">
        <f aca="false">'Monthly Viewing Forecast'!L99*'Title Inputs'!$E$33</f>
        <v>3424.83243986607</v>
      </c>
      <c r="M133" s="41" t="n">
        <f aca="false">'Monthly Viewing Forecast'!M99*'Title Inputs'!$E$33</f>
        <v>3013.85254708214</v>
      </c>
      <c r="N133" s="41" t="n">
        <f aca="false">'Monthly Viewing Forecast'!N99*'Title Inputs'!$E$33</f>
        <v>2652.19024143228</v>
      </c>
      <c r="O133" s="41" t="n">
        <f aca="false">'Monthly Viewing Forecast'!O99*'Title Inputs'!$E$33</f>
        <v>2333.92741246041</v>
      </c>
      <c r="P133" s="41" t="n">
        <f aca="false">'Monthly Viewing Forecast'!P99*'Title Inputs'!$E$33</f>
        <v>2053.85612296516</v>
      </c>
      <c r="Q133" s="41" t="n">
        <f aca="false">'Monthly Viewing Forecast'!Q99*'Title Inputs'!$E$33</f>
        <v>1807.39338820934</v>
      </c>
      <c r="R133" s="41" t="n">
        <f aca="false">'Monthly Viewing Forecast'!R99*'Title Inputs'!$E$33</f>
        <v>1590.50618162422</v>
      </c>
      <c r="S133" s="41" t="n">
        <f aca="false">'Monthly Viewing Forecast'!S99*'Title Inputs'!$E$33</f>
        <v>1399.64543982931</v>
      </c>
      <c r="T133" s="41" t="n">
        <f aca="false">'Monthly Viewing Forecast'!T99*'Title Inputs'!$E$33</f>
        <v>1231.6879870498</v>
      </c>
      <c r="U133" s="41" t="n">
        <f aca="false">'Monthly Viewing Forecast'!U99*'Title Inputs'!$E$33</f>
        <v>1083.88542860382</v>
      </c>
      <c r="V133" s="41" t="n">
        <f aca="false">'Monthly Viewing Forecast'!V99*'Title Inputs'!$E$33</f>
        <v>953.819177171363</v>
      </c>
      <c r="W133" s="41" t="n">
        <f aca="false">'Monthly Viewing Forecast'!W99*'Title Inputs'!$E$33</f>
        <v>839.360875910799</v>
      </c>
      <c r="X133" s="41" t="n">
        <f aca="false">'Monthly Viewing Forecast'!X99*'Title Inputs'!$E$33</f>
        <v>738.637570801503</v>
      </c>
      <c r="Y133" s="41" t="n">
        <f aca="false">'Monthly Viewing Forecast'!Y99*'Title Inputs'!$E$33</f>
        <v>650.001062305323</v>
      </c>
      <c r="Z133" s="41" t="n">
        <f aca="false">'Monthly Viewing Forecast'!Z99*'Title Inputs'!$E$33</f>
        <v>572.000934828684</v>
      </c>
      <c r="AA133" s="41" t="n">
        <f aca="false">'Monthly Viewing Forecast'!AA99*'Title Inputs'!$E$33</f>
        <v>503.360822649242</v>
      </c>
      <c r="AB133" s="41" t="n">
        <f aca="false">'Monthly Viewing Forecast'!AB99*'Title Inputs'!$E$33</f>
        <v>442.957523931333</v>
      </c>
    </row>
    <row r="134" customFormat="false" ht="15" hidden="false" customHeight="false" outlineLevel="0" collapsed="false">
      <c r="A134" s="14"/>
      <c r="B134" s="9"/>
      <c r="C134" s="8" t="s">
        <v>216</v>
      </c>
      <c r="D134" s="34" t="n">
        <f aca="false">SUM(E134:AB134)</f>
        <v>477518.080315458</v>
      </c>
      <c r="E134" s="34" t="n">
        <f aca="false">E129+E130-E131-E132-E133</f>
        <v>-21255.331233267</v>
      </c>
      <c r="F134" s="34" t="n">
        <f aca="false">F129+F130-F131-F132-F133</f>
        <v>44473.308514725</v>
      </c>
      <c r="G134" s="34" t="n">
        <f aca="false">G129+G130-G131-G132-G133</f>
        <v>48836.5114929581</v>
      </c>
      <c r="H134" s="34" t="n">
        <f aca="false">H129+H130-H131-H132-H133</f>
        <v>45459.3301138031</v>
      </c>
      <c r="I134" s="34" t="n">
        <f aca="false">I129+I130-I131-I132-I133</f>
        <v>46833.0105001467</v>
      </c>
      <c r="J134" s="34" t="n">
        <f aca="false">J129+J130-J131-J132-J133</f>
        <v>41213.0492401291</v>
      </c>
      <c r="K134" s="34" t="n">
        <f aca="false">K129+K130-K131-K132-K133</f>
        <v>36267.4833313136</v>
      </c>
      <c r="L134" s="34" t="n">
        <f aca="false">L129+L130-L131-L132-L133</f>
        <v>31915.385331556</v>
      </c>
      <c r="M134" s="34" t="n">
        <f aca="false">M129+M130-M131-M132-M133</f>
        <v>28085.5390917693</v>
      </c>
      <c r="N134" s="34" t="n">
        <f aca="false">N129+N130-N131-N132-N133</f>
        <v>24715.2744007569</v>
      </c>
      <c r="O134" s="34" t="n">
        <f aca="false">O129+O130-O131-O132-O133</f>
        <v>21749.4414726661</v>
      </c>
      <c r="P134" s="34" t="n">
        <f aca="false">P129+P130-P131-P132-P133</f>
        <v>19139.5084959462</v>
      </c>
      <c r="Q134" s="34" t="n">
        <f aca="false">Q129+Q130-Q131-Q132-Q133</f>
        <v>16842.7674764326</v>
      </c>
      <c r="R134" s="34" t="n">
        <f aca="false">R129+R130-R131-R132-R133</f>
        <v>14821.6353792607</v>
      </c>
      <c r="S134" s="34" t="n">
        <f aca="false">S129+S130-S131-S132-S133</f>
        <v>13043.0391337494</v>
      </c>
      <c r="T134" s="34" t="n">
        <f aca="false">T129+T130-T131-T132-T133</f>
        <v>11477.8744376995</v>
      </c>
      <c r="U134" s="34" t="n">
        <f aca="false">U129+U130-U131-U132-U133</f>
        <v>10100.5295051756</v>
      </c>
      <c r="V134" s="34" t="n">
        <f aca="false">V129+V130-V131-V132-V133</f>
        <v>8888.46596455449</v>
      </c>
      <c r="W134" s="34" t="n">
        <f aca="false">W129+W130-W131-W132-W133</f>
        <v>7821.85004880795</v>
      </c>
      <c r="X134" s="34" t="n">
        <f aca="false">X129+X130-X131-X132-X133</f>
        <v>6883.228042951</v>
      </c>
      <c r="Y134" s="34" t="n">
        <f aca="false">Y129+Y130-Y131-Y132-Y133</f>
        <v>6057.24067779688</v>
      </c>
      <c r="Z134" s="34" t="n">
        <f aca="false">Z129+Z130-Z131-Z132-Z133</f>
        <v>5330.37179646126</v>
      </c>
      <c r="AA134" s="34" t="n">
        <f aca="false">AA129+AA130-AA131-AA132-AA133</f>
        <v>4690.7271808859</v>
      </c>
      <c r="AB134" s="34" t="n">
        <f aca="false">AB129+AB130-AB131-AB132-AB133</f>
        <v>4127.8399191796</v>
      </c>
    </row>
    <row r="136" customFormat="false" ht="15" hidden="false" customHeight="false" outlineLevel="0" collapsed="false">
      <c r="A136" s="14" t="s">
        <v>210</v>
      </c>
      <c r="B136" s="8" t="s">
        <v>125</v>
      </c>
      <c r="C136" s="9" t="s">
        <v>213</v>
      </c>
      <c r="D136" s="34" t="n">
        <f aca="false">SUM(E136:AB136)</f>
        <v>272196.35972867</v>
      </c>
      <c r="E136" s="41" t="n">
        <f aca="false">'Monthly Viewing Forecast'!E107*Scenarios!$F$45</f>
        <v>37173.5976156254</v>
      </c>
      <c r="F136" s="41" t="n">
        <f aca="false">'Monthly Viewing Forecast'!F107*Scenarios!$F$45</f>
        <v>32266.6827303628</v>
      </c>
      <c r="G136" s="41" t="n">
        <f aca="false">'Monthly Viewing Forecast'!G107*Scenarios!$F$45</f>
        <v>28007.4806099549</v>
      </c>
      <c r="H136" s="41" t="n">
        <f aca="false">'Monthly Viewing Forecast'!H107*Scenarios!$F$45</f>
        <v>24310.4931694409</v>
      </c>
      <c r="I136" s="41" t="n">
        <f aca="false">'Monthly Viewing Forecast'!I107*Scenarios!$F$45</f>
        <v>21101.5080710747</v>
      </c>
      <c r="J136" s="41" t="n">
        <f aca="false">'Monthly Viewing Forecast'!J107*Scenarios!$F$45</f>
        <v>18316.1090056928</v>
      </c>
      <c r="K136" s="41" t="n">
        <f aca="false">'Monthly Viewing Forecast'!K107*Scenarios!$F$45</f>
        <v>15898.3826169414</v>
      </c>
      <c r="L136" s="41" t="n">
        <f aca="false">'Monthly Viewing Forecast'!L107*Scenarios!$F$45</f>
        <v>13799.7961115051</v>
      </c>
      <c r="M136" s="41" t="n">
        <f aca="false">'Monthly Viewing Forecast'!M107*Scenarios!$F$45</f>
        <v>11978.2230247864</v>
      </c>
      <c r="N136" s="41" t="n">
        <f aca="false">'Monthly Viewing Forecast'!N107*Scenarios!$F$45</f>
        <v>10397.0975855146</v>
      </c>
      <c r="O136" s="41" t="n">
        <f aca="false">'Monthly Viewing Forecast'!O107*Scenarios!$F$45</f>
        <v>9024.68070422669</v>
      </c>
      <c r="P136" s="41" t="n">
        <f aca="false">'Monthly Viewing Forecast'!P107*Scenarios!$F$45</f>
        <v>7833.42285126877</v>
      </c>
      <c r="Q136" s="41" t="n">
        <f aca="false">'Monthly Viewing Forecast'!Q107*Scenarios!$F$45</f>
        <v>6799.41103490129</v>
      </c>
      <c r="R136" s="41" t="n">
        <f aca="false">'Monthly Viewing Forecast'!R107*Scenarios!$F$45</f>
        <v>5901.88877829432</v>
      </c>
      <c r="S136" s="41" t="n">
        <f aca="false">'Monthly Viewing Forecast'!S107*Scenarios!$F$45</f>
        <v>5122.83945955947</v>
      </c>
      <c r="T136" s="41" t="n">
        <f aca="false">'Monthly Viewing Forecast'!T107*Scenarios!$F$45</f>
        <v>4446.62465089762</v>
      </c>
      <c r="U136" s="41" t="n">
        <f aca="false">'Monthly Viewing Forecast'!U107*Scenarios!$F$45</f>
        <v>3859.67019697913</v>
      </c>
      <c r="V136" s="41" t="n">
        <f aca="false">'Monthly Viewing Forecast'!V107*Scenarios!$F$45</f>
        <v>3350.19373097789</v>
      </c>
      <c r="W136" s="41" t="n">
        <f aca="false">'Monthly Viewing Forecast'!W107*Scenarios!$F$45</f>
        <v>2907.96815848881</v>
      </c>
      <c r="X136" s="41" t="n">
        <f aca="false">'Monthly Viewing Forecast'!X107*Scenarios!$F$45</f>
        <v>2524.11636156828</v>
      </c>
      <c r="Y136" s="41" t="n">
        <f aca="false">'Monthly Viewing Forecast'!Y107*Scenarios!$F$45</f>
        <v>2190.93300184127</v>
      </c>
      <c r="Z136" s="41" t="n">
        <f aca="false">'Monthly Viewing Forecast'!Z107*Scenarios!$F$45</f>
        <v>1901.72984559822</v>
      </c>
      <c r="AA136" s="41" t="n">
        <f aca="false">'Monthly Viewing Forecast'!AA107*Scenarios!$F$45</f>
        <v>1650.70150597926</v>
      </c>
      <c r="AB136" s="41" t="n">
        <f aca="false">'Monthly Viewing Forecast'!AB107*Scenarios!$F$45</f>
        <v>1432.80890719</v>
      </c>
    </row>
    <row r="137" customFormat="false" ht="15" hidden="false" customHeight="false" outlineLevel="0" collapsed="false">
      <c r="A137" s="14"/>
      <c r="B137" s="9"/>
      <c r="C137" s="9" t="s">
        <v>214</v>
      </c>
      <c r="D137" s="34" t="n">
        <f aca="false">SUM(E137:AB137)</f>
        <v>47835.7983032774</v>
      </c>
      <c r="E137" s="41" t="n">
        <f aca="false">'Monthly Viewing Forecast'!E105*Scenarios!$F$45*'Title Inputs'!$F$34</f>
        <v>6532.88941674612</v>
      </c>
      <c r="F137" s="41" t="n">
        <f aca="false">'Monthly Viewing Forecast'!F105*Scenarios!$F$45*'Title Inputs'!$F$34</f>
        <v>5670.54801373563</v>
      </c>
      <c r="G137" s="41" t="n">
        <f aca="false">'Monthly Viewing Forecast'!G105*Scenarios!$F$45*'Title Inputs'!$F$34</f>
        <v>4922.03567592253</v>
      </c>
      <c r="H137" s="41" t="n">
        <f aca="false">'Monthly Viewing Forecast'!H105*Scenarios!$F$45*'Title Inputs'!$F$34</f>
        <v>4272.32696670075</v>
      </c>
      <c r="I137" s="41" t="n">
        <f aca="false">'Monthly Viewing Forecast'!I105*Scenarios!$F$45*'Title Inputs'!$F$34</f>
        <v>3708.37980709625</v>
      </c>
      <c r="J137" s="41" t="n">
        <f aca="false">'Monthly Viewing Forecast'!J105*Scenarios!$F$45*'Title Inputs'!$F$34</f>
        <v>3218.87367255955</v>
      </c>
      <c r="K137" s="41" t="n">
        <f aca="false">'Monthly Viewing Forecast'!K105*Scenarios!$F$45*'Title Inputs'!$F$34</f>
        <v>2793.98234778169</v>
      </c>
      <c r="L137" s="41" t="n">
        <f aca="false">'Monthly Viewing Forecast'!L105*Scenarios!$F$45*'Title Inputs'!$F$34</f>
        <v>2425.17667787451</v>
      </c>
      <c r="M137" s="41" t="n">
        <f aca="false">'Monthly Viewing Forecast'!M105*Scenarios!$F$45*'Title Inputs'!$F$34</f>
        <v>2105.05335639507</v>
      </c>
      <c r="N137" s="41" t="n">
        <f aca="false">'Monthly Viewing Forecast'!N105*Scenarios!$F$45*'Title Inputs'!$F$34</f>
        <v>1827.18631335092</v>
      </c>
      <c r="O137" s="41" t="n">
        <f aca="false">'Monthly Viewing Forecast'!O105*Scenarios!$F$45*'Title Inputs'!$F$34</f>
        <v>1585.9977199886</v>
      </c>
      <c r="P137" s="41" t="n">
        <f aca="false">'Monthly Viewing Forecast'!P105*Scenarios!$F$45*'Title Inputs'!$F$34</f>
        <v>1376.6460209501</v>
      </c>
      <c r="Q137" s="41" t="n">
        <f aca="false">'Monthly Viewing Forecast'!Q105*Scenarios!$F$45*'Title Inputs'!$F$34</f>
        <v>1194.92874618469</v>
      </c>
      <c r="R137" s="41" t="n">
        <f aca="false">'Monthly Viewing Forecast'!R105*Scenarios!$F$45*'Title Inputs'!$F$34</f>
        <v>1037.19815168831</v>
      </c>
      <c r="S137" s="41" t="n">
        <f aca="false">'Monthly Viewing Forecast'!S105*Scenarios!$F$45*'Title Inputs'!$F$34</f>
        <v>900.287995665454</v>
      </c>
      <c r="T137" s="41" t="n">
        <f aca="false">'Monthly Viewing Forecast'!T105*Scenarios!$F$45*'Title Inputs'!$F$34</f>
        <v>781.449980237614</v>
      </c>
      <c r="U137" s="41" t="n">
        <f aca="false">'Monthly Viewing Forecast'!U105*Scenarios!$F$45*'Title Inputs'!$F$34</f>
        <v>678.298582846249</v>
      </c>
      <c r="V137" s="41" t="n">
        <f aca="false">'Monthly Viewing Forecast'!V105*Scenarios!$F$45*'Title Inputs'!$F$34</f>
        <v>588.763169910544</v>
      </c>
      <c r="W137" s="41" t="n">
        <f aca="false">'Monthly Viewing Forecast'!W105*Scenarios!$F$45*'Title Inputs'!$F$34</f>
        <v>511.046431482353</v>
      </c>
      <c r="X137" s="41" t="n">
        <f aca="false">'Monthly Viewing Forecast'!X105*Scenarios!$F$45*'Title Inputs'!$F$34</f>
        <v>443.588302526682</v>
      </c>
      <c r="Y137" s="41" t="n">
        <f aca="false">'Monthly Viewing Forecast'!Y105*Scenarios!$F$45*'Title Inputs'!$F$34</f>
        <v>385.03464659316</v>
      </c>
      <c r="Z137" s="41" t="n">
        <f aca="false">'Monthly Viewing Forecast'!Z105*Scenarios!$F$45*'Title Inputs'!$F$34</f>
        <v>334.210073242863</v>
      </c>
      <c r="AA137" s="41" t="n">
        <f aca="false">'Monthly Viewing Forecast'!AA105*Scenarios!$F$45*'Title Inputs'!$F$34</f>
        <v>290.094343574805</v>
      </c>
      <c r="AB137" s="41" t="n">
        <f aca="false">'Monthly Viewing Forecast'!AB105*Scenarios!$F$45*'Title Inputs'!$F$34</f>
        <v>251.801890222931</v>
      </c>
    </row>
    <row r="138" customFormat="false" ht="15" hidden="false" customHeight="false" outlineLevel="0" collapsed="false">
      <c r="A138" s="14"/>
      <c r="B138" s="9"/>
      <c r="C138" s="9" t="s">
        <v>170</v>
      </c>
      <c r="D138" s="34" t="n">
        <f aca="false">SUM(E138:AB138)</f>
        <v>69840</v>
      </c>
      <c r="E138" s="41" t="n">
        <f aca="false">Scenarios!$F$46*INDEX(Assumptions!$C$23:$C$26,E$4)</f>
        <v>38412</v>
      </c>
      <c r="F138" s="41" t="n">
        <f aca="false">Scenarios!$F$46*INDEX(Assumptions!$C$23:$C$26,F$4)</f>
        <v>17460</v>
      </c>
      <c r="G138" s="41" t="n">
        <f aca="false">Scenarios!$F$46*INDEX(Assumptions!$C$23:$C$26,G$4)</f>
        <v>8380.8</v>
      </c>
      <c r="H138" s="41" t="n">
        <f aca="false">Scenarios!$F$46*INDEX(Assumptions!$C$23:$C$26,H$4)</f>
        <v>5587.2</v>
      </c>
      <c r="I138" s="41" t="n">
        <f aca="false">0</f>
        <v>0</v>
      </c>
      <c r="J138" s="41" t="n">
        <f aca="false">0</f>
        <v>0</v>
      </c>
      <c r="K138" s="41" t="n">
        <f aca="false">0</f>
        <v>0</v>
      </c>
      <c r="L138" s="41" t="n">
        <f aca="false">0</f>
        <v>0</v>
      </c>
      <c r="M138" s="41" t="n">
        <f aca="false">0</f>
        <v>0</v>
      </c>
      <c r="N138" s="41" t="n">
        <f aca="false">0</f>
        <v>0</v>
      </c>
      <c r="O138" s="41" t="n">
        <f aca="false">0</f>
        <v>0</v>
      </c>
      <c r="P138" s="41" t="n">
        <f aca="false">0</f>
        <v>0</v>
      </c>
      <c r="Q138" s="41" t="n">
        <f aca="false">0</f>
        <v>0</v>
      </c>
      <c r="R138" s="41" t="n">
        <f aca="false">0</f>
        <v>0</v>
      </c>
      <c r="S138" s="41" t="n">
        <f aca="false">0</f>
        <v>0</v>
      </c>
      <c r="T138" s="41" t="n">
        <f aca="false">0</f>
        <v>0</v>
      </c>
      <c r="U138" s="41" t="n">
        <f aca="false">0</f>
        <v>0</v>
      </c>
      <c r="V138" s="41" t="n">
        <f aca="false">0</f>
        <v>0</v>
      </c>
      <c r="W138" s="41" t="n">
        <f aca="false">0</f>
        <v>0</v>
      </c>
      <c r="X138" s="41" t="n">
        <f aca="false">0</f>
        <v>0</v>
      </c>
      <c r="Y138" s="41" t="n">
        <f aca="false">0</f>
        <v>0</v>
      </c>
      <c r="Z138" s="41" t="n">
        <f aca="false">0</f>
        <v>0</v>
      </c>
      <c r="AA138" s="41" t="n">
        <f aca="false">0</f>
        <v>0</v>
      </c>
      <c r="AB138" s="41" t="n">
        <f aca="false">0</f>
        <v>0</v>
      </c>
    </row>
    <row r="139" customFormat="false" ht="15" hidden="false" customHeight="false" outlineLevel="0" collapsed="false">
      <c r="A139" s="14"/>
      <c r="B139" s="9"/>
      <c r="C139" s="9" t="s">
        <v>171</v>
      </c>
      <c r="D139" s="34" t="n">
        <f aca="false">SUM(E139:AB139)</f>
        <v>44000</v>
      </c>
      <c r="E139" s="41" t="n">
        <f aca="false">'Title Inputs'!$F$32</f>
        <v>44000</v>
      </c>
      <c r="F139" s="41" t="n">
        <f aca="false">0</f>
        <v>0</v>
      </c>
      <c r="G139" s="41" t="n">
        <f aca="false">0</f>
        <v>0</v>
      </c>
      <c r="H139" s="41" t="n">
        <f aca="false">0</f>
        <v>0</v>
      </c>
      <c r="I139" s="41" t="n">
        <f aca="false">0</f>
        <v>0</v>
      </c>
      <c r="J139" s="41" t="n">
        <f aca="false">0</f>
        <v>0</v>
      </c>
      <c r="K139" s="41" t="n">
        <f aca="false">0</f>
        <v>0</v>
      </c>
      <c r="L139" s="41" t="n">
        <f aca="false">0</f>
        <v>0</v>
      </c>
      <c r="M139" s="41" t="n">
        <f aca="false">0</f>
        <v>0</v>
      </c>
      <c r="N139" s="41" t="n">
        <f aca="false">0</f>
        <v>0</v>
      </c>
      <c r="O139" s="41" t="n">
        <f aca="false">0</f>
        <v>0</v>
      </c>
      <c r="P139" s="41" t="n">
        <f aca="false">0</f>
        <v>0</v>
      </c>
      <c r="Q139" s="41" t="n">
        <f aca="false">0</f>
        <v>0</v>
      </c>
      <c r="R139" s="41" t="n">
        <f aca="false">0</f>
        <v>0</v>
      </c>
      <c r="S139" s="41" t="n">
        <f aca="false">0</f>
        <v>0</v>
      </c>
      <c r="T139" s="41" t="n">
        <f aca="false">0</f>
        <v>0</v>
      </c>
      <c r="U139" s="41" t="n">
        <f aca="false">0</f>
        <v>0</v>
      </c>
      <c r="V139" s="41" t="n">
        <f aca="false">0</f>
        <v>0</v>
      </c>
      <c r="W139" s="41" t="n">
        <f aca="false">0</f>
        <v>0</v>
      </c>
      <c r="X139" s="41" t="n">
        <f aca="false">0</f>
        <v>0</v>
      </c>
      <c r="Y139" s="41" t="n">
        <f aca="false">0</f>
        <v>0</v>
      </c>
      <c r="Z139" s="41" t="n">
        <f aca="false">0</f>
        <v>0</v>
      </c>
      <c r="AA139" s="41" t="n">
        <f aca="false">0</f>
        <v>0</v>
      </c>
      <c r="AB139" s="41" t="n">
        <f aca="false">0</f>
        <v>0</v>
      </c>
    </row>
    <row r="140" customFormat="false" ht="15" hidden="false" customHeight="false" outlineLevel="0" collapsed="false">
      <c r="A140" s="14"/>
      <c r="B140" s="9"/>
      <c r="C140" s="9" t="s">
        <v>215</v>
      </c>
      <c r="D140" s="34" t="n">
        <f aca="false">SUM(E140:AB140)</f>
        <v>41721.4151237013</v>
      </c>
      <c r="E140" s="41" t="n">
        <f aca="false">'Monthly Viewing Forecast'!E105*'Title Inputs'!$F$33</f>
        <v>5697.85392908611</v>
      </c>
      <c r="F140" s="41" t="n">
        <f aca="false">'Monthly Viewing Forecast'!F105*'Title Inputs'!$F$33</f>
        <v>4945.73721044674</v>
      </c>
      <c r="G140" s="41" t="n">
        <f aca="false">'Monthly Viewing Forecast'!G105*'Title Inputs'!$F$33</f>
        <v>4292.89989866777</v>
      </c>
      <c r="H140" s="41" t="n">
        <f aca="false">'Monthly Viewing Forecast'!H105*'Title Inputs'!$F$33</f>
        <v>3726.23711204362</v>
      </c>
      <c r="I140" s="41" t="n">
        <f aca="false">'Monthly Viewing Forecast'!I105*'Title Inputs'!$F$33</f>
        <v>3234.37381325387</v>
      </c>
      <c r="J140" s="41" t="n">
        <f aca="false">'Monthly Viewing Forecast'!J105*'Title Inputs'!$F$33</f>
        <v>2807.43646990436</v>
      </c>
      <c r="K140" s="41" t="n">
        <f aca="false">'Monthly Viewing Forecast'!K105*'Title Inputs'!$F$33</f>
        <v>2436.85485587698</v>
      </c>
      <c r="L140" s="41" t="n">
        <f aca="false">'Monthly Viewing Forecast'!L105*'Title Inputs'!$F$33</f>
        <v>2115.19001490122</v>
      </c>
      <c r="M140" s="41" t="n">
        <f aca="false">'Monthly Viewing Forecast'!M105*'Title Inputs'!$F$33</f>
        <v>1835.98493293426</v>
      </c>
      <c r="N140" s="41" t="n">
        <f aca="false">'Monthly Viewing Forecast'!N105*'Title Inputs'!$F$33</f>
        <v>1593.63492178694</v>
      </c>
      <c r="O140" s="41" t="n">
        <f aca="false">'Monthly Viewing Forecast'!O105*'Title Inputs'!$F$33</f>
        <v>1383.27511211106</v>
      </c>
      <c r="P140" s="41" t="n">
        <f aca="false">'Monthly Viewing Forecast'!P105*'Title Inputs'!$F$33</f>
        <v>1200.6827973124</v>
      </c>
      <c r="Q140" s="41" t="n">
        <f aca="false">'Monthly Viewing Forecast'!Q105*'Title Inputs'!$F$33</f>
        <v>1042.19266806716</v>
      </c>
      <c r="R140" s="41" t="n">
        <f aca="false">'Monthly Viewing Forecast'!R105*'Title Inputs'!$F$33</f>
        <v>904.623235882298</v>
      </c>
      <c r="S140" s="41" t="n">
        <f aca="false">'Monthly Viewing Forecast'!S105*'Title Inputs'!$F$33</f>
        <v>785.212968745835</v>
      </c>
      <c r="T140" s="41" t="n">
        <f aca="false">'Monthly Viewing Forecast'!T105*'Title Inputs'!$F$33</f>
        <v>681.564856871384</v>
      </c>
      <c r="U140" s="41" t="n">
        <f aca="false">'Monthly Viewing Forecast'!U105*'Title Inputs'!$F$33</f>
        <v>591.598295764362</v>
      </c>
      <c r="V140" s="41" t="n">
        <f aca="false">'Monthly Viewing Forecast'!V105*'Title Inputs'!$F$33</f>
        <v>513.507320723466</v>
      </c>
      <c r="W140" s="41" t="n">
        <f aca="false">'Monthly Viewing Forecast'!W105*'Title Inputs'!$F$33</f>
        <v>445.724354387968</v>
      </c>
      <c r="X140" s="41" t="n">
        <f aca="false">'Monthly Viewing Forecast'!X105*'Title Inputs'!$F$33</f>
        <v>386.888739608757</v>
      </c>
      <c r="Y140" s="41" t="n">
        <f aca="false">'Monthly Viewing Forecast'!Y105*'Title Inputs'!$F$33</f>
        <v>335.819425980401</v>
      </c>
      <c r="Z140" s="41" t="n">
        <f aca="false">'Monthly Viewing Forecast'!Z105*'Title Inputs'!$F$33</f>
        <v>291.491261750988</v>
      </c>
      <c r="AA140" s="41" t="n">
        <f aca="false">'Monthly Viewing Forecast'!AA105*'Title Inputs'!$F$33</f>
        <v>253.014415199857</v>
      </c>
      <c r="AB140" s="41" t="n">
        <f aca="false">'Monthly Viewing Forecast'!AB105*'Title Inputs'!$F$33</f>
        <v>219.616512393476</v>
      </c>
    </row>
    <row r="141" customFormat="false" ht="15" hidden="false" customHeight="false" outlineLevel="0" collapsed="false">
      <c r="A141" s="14"/>
      <c r="B141" s="9"/>
      <c r="C141" s="8" t="s">
        <v>216</v>
      </c>
      <c r="D141" s="34" t="n">
        <f aca="false">SUM(E141:AB141)</f>
        <v>164470.742908246</v>
      </c>
      <c r="E141" s="34" t="n">
        <f aca="false">E136+E137-E138-E139-E140</f>
        <v>-44403.3668967146</v>
      </c>
      <c r="F141" s="34" t="n">
        <f aca="false">F136+F137-F138-F139-F140</f>
        <v>15531.4935336517</v>
      </c>
      <c r="G141" s="34" t="n">
        <f aca="false">G136+G137-G138-G139-G140</f>
        <v>20255.8163872097</v>
      </c>
      <c r="H141" s="34" t="n">
        <f aca="false">H136+H137-H138-H139-H140</f>
        <v>19269.383024098</v>
      </c>
      <c r="I141" s="34" t="n">
        <f aca="false">I136+I137-I138-I139-I140</f>
        <v>21575.5140649171</v>
      </c>
      <c r="J141" s="34" t="n">
        <f aca="false">J136+J137-J138-J139-J140</f>
        <v>18727.546208348</v>
      </c>
      <c r="K141" s="34" t="n">
        <f aca="false">K136+K137-K138-K139-K140</f>
        <v>16255.5101088461</v>
      </c>
      <c r="L141" s="34" t="n">
        <f aca="false">L136+L137-L138-L139-L140</f>
        <v>14109.7827744784</v>
      </c>
      <c r="M141" s="34" t="n">
        <f aca="false">M136+M137-M138-M139-M140</f>
        <v>12247.2914482472</v>
      </c>
      <c r="N141" s="34" t="n">
        <f aca="false">N136+N137-N138-N139-N140</f>
        <v>10630.6489770786</v>
      </c>
      <c r="O141" s="34" t="n">
        <f aca="false">O136+O137-O138-O139-O140</f>
        <v>9227.40331210423</v>
      </c>
      <c r="P141" s="34" t="n">
        <f aca="false">P136+P137-P138-P139-P140</f>
        <v>8009.38607490647</v>
      </c>
      <c r="Q141" s="34" t="n">
        <f aca="false">Q136+Q137-Q138-Q139-Q140</f>
        <v>6952.14711301882</v>
      </c>
      <c r="R141" s="34" t="n">
        <f aca="false">R136+R137-R138-R139-R140</f>
        <v>6034.46369410033</v>
      </c>
      <c r="S141" s="34" t="n">
        <f aca="false">S136+S137-S138-S139-S140</f>
        <v>5237.91448647909</v>
      </c>
      <c r="T141" s="34" t="n">
        <f aca="false">T136+T137-T138-T139-T140</f>
        <v>4546.50977426385</v>
      </c>
      <c r="U141" s="34" t="n">
        <f aca="false">U136+U137-U138-U139-U140</f>
        <v>3946.37048406102</v>
      </c>
      <c r="V141" s="34" t="n">
        <f aca="false">V136+V137-V138-V139-V140</f>
        <v>3425.44958016497</v>
      </c>
      <c r="W141" s="34" t="n">
        <f aca="false">W136+W137-W138-W139-W140</f>
        <v>2973.29023558319</v>
      </c>
      <c r="X141" s="34" t="n">
        <f aca="false">X136+X137-X138-X139-X140</f>
        <v>2580.81592448621</v>
      </c>
      <c r="Y141" s="34" t="n">
        <f aca="false">Y136+Y137-Y138-Y139-Y140</f>
        <v>2240.14822245403</v>
      </c>
      <c r="Z141" s="34" t="n">
        <f aca="false">Z136+Z137-Z138-Z139-Z140</f>
        <v>1944.4486570901</v>
      </c>
      <c r="AA141" s="34" t="n">
        <f aca="false">AA136+AA137-AA138-AA139-AA140</f>
        <v>1687.7814343542</v>
      </c>
      <c r="AB141" s="34" t="n">
        <f aca="false">AB136+AB137-AB138-AB139-AB140</f>
        <v>1464.99428501945</v>
      </c>
    </row>
    <row r="143" customFormat="false" ht="15" hidden="false" customHeight="false" outlineLevel="0" collapsed="false">
      <c r="A143" s="14" t="s">
        <v>210</v>
      </c>
      <c r="B143" s="8" t="s">
        <v>126</v>
      </c>
      <c r="C143" s="9" t="s">
        <v>213</v>
      </c>
      <c r="D143" s="34" t="n">
        <f aca="false">SUM(E143:AB143)</f>
        <v>72499.2560599276</v>
      </c>
      <c r="E143" s="41" t="n">
        <f aca="false">'Monthly Viewing Forecast'!E113*Scenarios!$G$45</f>
        <v>10562.4787391981</v>
      </c>
      <c r="F143" s="41" t="n">
        <f aca="false">'Monthly Viewing Forecast'!F113*Scenarios!$G$45</f>
        <v>9062.60675823198</v>
      </c>
      <c r="G143" s="41" t="n">
        <f aca="false">'Monthly Viewing Forecast'!G113*Scenarios!$G$45</f>
        <v>7775.71659856303</v>
      </c>
      <c r="H143" s="41" t="n">
        <f aca="false">'Monthly Viewing Forecast'!H113*Scenarios!$G$45</f>
        <v>6671.56484156708</v>
      </c>
      <c r="I143" s="41" t="n">
        <f aca="false">'Monthly Viewing Forecast'!I113*Scenarios!$G$45</f>
        <v>5724.20263406456</v>
      </c>
      <c r="J143" s="41" t="n">
        <f aca="false">'Monthly Viewing Forecast'!J113*Scenarios!$G$45</f>
        <v>4911.36586002739</v>
      </c>
      <c r="K143" s="41" t="n">
        <f aca="false">'Monthly Viewing Forecast'!K113*Scenarios!$G$45</f>
        <v>4213.9519079035</v>
      </c>
      <c r="L143" s="41" t="n">
        <f aca="false">'Monthly Viewing Forecast'!L113*Scenarios!$G$45</f>
        <v>3615.5707369812</v>
      </c>
      <c r="M143" s="41" t="n">
        <f aca="false">'Monthly Viewing Forecast'!M113*Scenarios!$G$45</f>
        <v>3102.15969232987</v>
      </c>
      <c r="N143" s="41" t="n">
        <f aca="false">'Monthly Viewing Forecast'!N113*Scenarios!$G$45</f>
        <v>2661.65301601903</v>
      </c>
      <c r="O143" s="41" t="n">
        <f aca="false">'Monthly Viewing Forecast'!O113*Scenarios!$G$45</f>
        <v>2283.69828774433</v>
      </c>
      <c r="P143" s="41" t="n">
        <f aca="false">'Monthly Viewing Forecast'!P113*Scenarios!$G$45</f>
        <v>1959.41313088463</v>
      </c>
      <c r="Q143" s="41" t="n">
        <f aca="false">'Monthly Viewing Forecast'!Q113*Scenarios!$G$45</f>
        <v>1681.17646629902</v>
      </c>
      <c r="R143" s="41" t="n">
        <f aca="false">'Monthly Viewing Forecast'!R113*Scenarios!$G$45</f>
        <v>1442.44940808456</v>
      </c>
      <c r="S143" s="41" t="n">
        <f aca="false">'Monthly Viewing Forecast'!S113*Scenarios!$G$45</f>
        <v>1237.62159213655</v>
      </c>
      <c r="T143" s="41" t="n">
        <f aca="false">'Monthly Viewing Forecast'!T113*Scenarios!$G$45</f>
        <v>1061.87932605316</v>
      </c>
      <c r="U143" s="41" t="n">
        <f aca="false">'Monthly Viewing Forecast'!U113*Scenarios!$G$45</f>
        <v>911.09246175361</v>
      </c>
      <c r="V143" s="41" t="n">
        <f aca="false">'Monthly Viewing Forecast'!V113*Scenarios!$G$45</f>
        <v>781.717332184597</v>
      </c>
      <c r="W143" s="41" t="n">
        <f aca="false">'Monthly Viewing Forecast'!W113*Scenarios!$G$45</f>
        <v>670.713471014385</v>
      </c>
      <c r="X143" s="41" t="n">
        <f aca="false">'Monthly Viewing Forecast'!X113*Scenarios!$G$45</f>
        <v>575.472158130342</v>
      </c>
      <c r="Y143" s="41" t="n">
        <f aca="false">'Monthly Viewing Forecast'!Y113*Scenarios!$G$45</f>
        <v>493.755111675833</v>
      </c>
      <c r="Z143" s="41" t="n">
        <f aca="false">'Monthly Viewing Forecast'!Z113*Scenarios!$G$45</f>
        <v>423.641885817865</v>
      </c>
      <c r="AA143" s="41" t="n">
        <f aca="false">'Monthly Viewing Forecast'!AA113*Scenarios!$G$45</f>
        <v>363.484738031728</v>
      </c>
      <c r="AB143" s="41" t="n">
        <f aca="false">'Monthly Viewing Forecast'!AB113*Scenarios!$G$45</f>
        <v>311.869905231223</v>
      </c>
    </row>
    <row r="144" customFormat="false" ht="15" hidden="false" customHeight="false" outlineLevel="0" collapsed="false">
      <c r="A144" s="14"/>
      <c r="B144" s="9"/>
      <c r="C144" s="9" t="s">
        <v>214</v>
      </c>
      <c r="D144" s="34" t="n">
        <f aca="false">SUM(E144:AB144)</f>
        <v>14086.9965602947</v>
      </c>
      <c r="E144" s="41" t="n">
        <f aca="false">'Monthly Viewing Forecast'!E111*Scenarios!$G$45*'Title Inputs'!$G$34</f>
        <v>2052.3465998641</v>
      </c>
      <c r="F144" s="41" t="n">
        <f aca="false">'Monthly Viewing Forecast'!F111*Scenarios!$G$45*'Title Inputs'!$G$34</f>
        <v>1760.9133826834</v>
      </c>
      <c r="G144" s="41" t="n">
        <f aca="false">'Monthly Viewing Forecast'!G111*Scenarios!$G$45*'Title Inputs'!$G$34</f>
        <v>1510.86368234236</v>
      </c>
      <c r="H144" s="41" t="n">
        <f aca="false">'Monthly Viewing Forecast'!H111*Scenarios!$G$45*'Title Inputs'!$G$34</f>
        <v>1296.32103944974</v>
      </c>
      <c r="I144" s="41" t="n">
        <f aca="false">'Monthly Viewing Forecast'!I111*Scenarios!$G$45*'Title Inputs'!$G$34</f>
        <v>1112.24345184788</v>
      </c>
      <c r="J144" s="41" t="n">
        <f aca="false">'Monthly Viewing Forecast'!J111*Scenarios!$G$45*'Title Inputs'!$G$34</f>
        <v>954.304881685481</v>
      </c>
      <c r="K144" s="41" t="n">
        <f aca="false">'Monthly Viewing Forecast'!K111*Scenarios!$G$45*'Title Inputs'!$G$34</f>
        <v>818.793588486143</v>
      </c>
      <c r="L144" s="41" t="n">
        <f aca="false">'Monthly Viewing Forecast'!L111*Scenarios!$G$45*'Title Inputs'!$G$34</f>
        <v>702.52489892111</v>
      </c>
      <c r="M144" s="41" t="n">
        <f aca="false">'Monthly Viewing Forecast'!M111*Scenarios!$G$45*'Title Inputs'!$G$34</f>
        <v>602.766363274313</v>
      </c>
      <c r="N144" s="41" t="n">
        <f aca="false">'Monthly Viewing Forecast'!N111*Scenarios!$G$45*'Title Inputs'!$G$34</f>
        <v>517.17353968936</v>
      </c>
      <c r="O144" s="41" t="n">
        <f aca="false">'Monthly Viewing Forecast'!O111*Scenarios!$G$45*'Title Inputs'!$G$34</f>
        <v>443.734897053471</v>
      </c>
      <c r="P144" s="41" t="n">
        <f aca="false">'Monthly Viewing Forecast'!P111*Scenarios!$G$45*'Title Inputs'!$G$34</f>
        <v>380.724541671878</v>
      </c>
      <c r="Q144" s="41" t="n">
        <f aca="false">'Monthly Viewing Forecast'!Q111*Scenarios!$G$45*'Title Inputs'!$G$34</f>
        <v>326.661656754472</v>
      </c>
      <c r="R144" s="41" t="n">
        <f aca="false">'Monthly Viewing Forecast'!R111*Scenarios!$G$45*'Title Inputs'!$G$34</f>
        <v>280.275701495337</v>
      </c>
      <c r="S144" s="41" t="n">
        <f aca="false">'Monthly Viewing Forecast'!S111*Scenarios!$G$45*'Title Inputs'!$G$34</f>
        <v>240.476551882999</v>
      </c>
      <c r="T144" s="41" t="n">
        <f aca="false">'Monthly Viewing Forecast'!T111*Scenarios!$G$45*'Title Inputs'!$G$34</f>
        <v>206.328881515613</v>
      </c>
      <c r="U144" s="41" t="n">
        <f aca="false">'Monthly Viewing Forecast'!U111*Scenarios!$G$45*'Title Inputs'!$G$34</f>
        <v>177.030180340396</v>
      </c>
      <c r="V144" s="41" t="n">
        <f aca="false">'Monthly Viewing Forecast'!V111*Scenarios!$G$45*'Title Inputs'!$G$34</f>
        <v>151.89189473206</v>
      </c>
      <c r="W144" s="41" t="n">
        <f aca="false">'Monthly Viewing Forecast'!W111*Scenarios!$G$45*'Title Inputs'!$G$34</f>
        <v>130.323245680107</v>
      </c>
      <c r="X144" s="41" t="n">
        <f aca="false">'Monthly Viewing Forecast'!X111*Scenarios!$G$45*'Title Inputs'!$G$34</f>
        <v>111.817344793532</v>
      </c>
      <c r="Y144" s="41" t="n">
        <f aca="false">'Monthly Viewing Forecast'!Y111*Scenarios!$G$45*'Title Inputs'!$G$34</f>
        <v>95.9392818328504</v>
      </c>
      <c r="Z144" s="41" t="n">
        <f aca="false">'Monthly Viewing Forecast'!Z111*Scenarios!$G$45*'Title Inputs'!$G$34</f>
        <v>82.3159038125857</v>
      </c>
      <c r="AA144" s="41" t="n">
        <f aca="false">'Monthly Viewing Forecast'!AA111*Scenarios!$G$45*'Title Inputs'!$G$34</f>
        <v>70.6270454711985</v>
      </c>
      <c r="AB144" s="41" t="n">
        <f aca="false">'Monthly Viewing Forecast'!AB111*Scenarios!$G$45*'Title Inputs'!$G$34</f>
        <v>60.5980050142883</v>
      </c>
    </row>
    <row r="145" customFormat="false" ht="15" hidden="false" customHeight="false" outlineLevel="0" collapsed="false">
      <c r="A145" s="14"/>
      <c r="B145" s="9"/>
      <c r="C145" s="9" t="s">
        <v>170</v>
      </c>
      <c r="D145" s="34" t="n">
        <f aca="false">SUM(E145:AB145)</f>
        <v>56260</v>
      </c>
      <c r="E145" s="41" t="n">
        <f aca="false">Scenarios!$G$46*INDEX(Assumptions!$C$23:$C$26,E$4)</f>
        <v>30943</v>
      </c>
      <c r="F145" s="41" t="n">
        <f aca="false">Scenarios!$G$46*INDEX(Assumptions!$C$23:$C$26,F$4)</f>
        <v>14065</v>
      </c>
      <c r="G145" s="41" t="n">
        <f aca="false">Scenarios!$G$46*INDEX(Assumptions!$C$23:$C$26,G$4)</f>
        <v>6751.2</v>
      </c>
      <c r="H145" s="41" t="n">
        <f aca="false">Scenarios!$G$46*INDEX(Assumptions!$C$23:$C$26,H$4)</f>
        <v>4500.8</v>
      </c>
      <c r="I145" s="41" t="n">
        <f aca="false">0</f>
        <v>0</v>
      </c>
      <c r="J145" s="41" t="n">
        <f aca="false">0</f>
        <v>0</v>
      </c>
      <c r="K145" s="41" t="n">
        <f aca="false">0</f>
        <v>0</v>
      </c>
      <c r="L145" s="41" t="n">
        <f aca="false">0</f>
        <v>0</v>
      </c>
      <c r="M145" s="41" t="n">
        <f aca="false">0</f>
        <v>0</v>
      </c>
      <c r="N145" s="41" t="n">
        <f aca="false">0</f>
        <v>0</v>
      </c>
      <c r="O145" s="41" t="n">
        <f aca="false">0</f>
        <v>0</v>
      </c>
      <c r="P145" s="41" t="n">
        <f aca="false">0</f>
        <v>0</v>
      </c>
      <c r="Q145" s="41" t="n">
        <f aca="false">0</f>
        <v>0</v>
      </c>
      <c r="R145" s="41" t="n">
        <f aca="false">0</f>
        <v>0</v>
      </c>
      <c r="S145" s="41" t="n">
        <f aca="false">0</f>
        <v>0</v>
      </c>
      <c r="T145" s="41" t="n">
        <f aca="false">0</f>
        <v>0</v>
      </c>
      <c r="U145" s="41" t="n">
        <f aca="false">0</f>
        <v>0</v>
      </c>
      <c r="V145" s="41" t="n">
        <f aca="false">0</f>
        <v>0</v>
      </c>
      <c r="W145" s="41" t="n">
        <f aca="false">0</f>
        <v>0</v>
      </c>
      <c r="X145" s="41" t="n">
        <f aca="false">0</f>
        <v>0</v>
      </c>
      <c r="Y145" s="41" t="n">
        <f aca="false">0</f>
        <v>0</v>
      </c>
      <c r="Z145" s="41" t="n">
        <f aca="false">0</f>
        <v>0</v>
      </c>
      <c r="AA145" s="41" t="n">
        <f aca="false">0</f>
        <v>0</v>
      </c>
      <c r="AB145" s="41" t="n">
        <f aca="false">0</f>
        <v>0</v>
      </c>
    </row>
    <row r="146" customFormat="false" ht="15" hidden="false" customHeight="false" outlineLevel="0" collapsed="false">
      <c r="A146" s="14"/>
      <c r="B146" s="9"/>
      <c r="C146" s="9" t="s">
        <v>171</v>
      </c>
      <c r="D146" s="34" t="n">
        <f aca="false">SUM(E146:AB146)</f>
        <v>40000</v>
      </c>
      <c r="E146" s="41" t="n">
        <f aca="false">'Title Inputs'!$G$32</f>
        <v>40000</v>
      </c>
      <c r="F146" s="41" t="n">
        <f aca="false">0</f>
        <v>0</v>
      </c>
      <c r="G146" s="41" t="n">
        <f aca="false">0</f>
        <v>0</v>
      </c>
      <c r="H146" s="41" t="n">
        <f aca="false">0</f>
        <v>0</v>
      </c>
      <c r="I146" s="41" t="n">
        <f aca="false">0</f>
        <v>0</v>
      </c>
      <c r="J146" s="41" t="n">
        <f aca="false">0</f>
        <v>0</v>
      </c>
      <c r="K146" s="41" t="n">
        <f aca="false">0</f>
        <v>0</v>
      </c>
      <c r="L146" s="41" t="n">
        <f aca="false">0</f>
        <v>0</v>
      </c>
      <c r="M146" s="41" t="n">
        <f aca="false">0</f>
        <v>0</v>
      </c>
      <c r="N146" s="41" t="n">
        <f aca="false">0</f>
        <v>0</v>
      </c>
      <c r="O146" s="41" t="n">
        <f aca="false">0</f>
        <v>0</v>
      </c>
      <c r="P146" s="41" t="n">
        <f aca="false">0</f>
        <v>0</v>
      </c>
      <c r="Q146" s="41" t="n">
        <f aca="false">0</f>
        <v>0</v>
      </c>
      <c r="R146" s="41" t="n">
        <f aca="false">0</f>
        <v>0</v>
      </c>
      <c r="S146" s="41" t="n">
        <f aca="false">0</f>
        <v>0</v>
      </c>
      <c r="T146" s="41" t="n">
        <f aca="false">0</f>
        <v>0</v>
      </c>
      <c r="U146" s="41" t="n">
        <f aca="false">0</f>
        <v>0</v>
      </c>
      <c r="V146" s="41" t="n">
        <f aca="false">0</f>
        <v>0</v>
      </c>
      <c r="W146" s="41" t="n">
        <f aca="false">0</f>
        <v>0</v>
      </c>
      <c r="X146" s="41" t="n">
        <f aca="false">0</f>
        <v>0</v>
      </c>
      <c r="Y146" s="41" t="n">
        <f aca="false">0</f>
        <v>0</v>
      </c>
      <c r="Z146" s="41" t="n">
        <f aca="false">0</f>
        <v>0</v>
      </c>
      <c r="AA146" s="41" t="n">
        <f aca="false">0</f>
        <v>0</v>
      </c>
      <c r="AB146" s="41" t="n">
        <f aca="false">0</f>
        <v>0</v>
      </c>
    </row>
    <row r="147" customFormat="false" ht="15" hidden="false" customHeight="false" outlineLevel="0" collapsed="false">
      <c r="A147" s="14"/>
      <c r="B147" s="9"/>
      <c r="C147" s="9" t="s">
        <v>215</v>
      </c>
      <c r="D147" s="34" t="n">
        <f aca="false">SUM(E147:AB147)</f>
        <v>14436.5121168068</v>
      </c>
      <c r="E147" s="41" t="n">
        <f aca="false">'Monthly Viewing Forecast'!E111*'Title Inputs'!$G$33</f>
        <v>2103.26782078846</v>
      </c>
      <c r="F147" s="41" t="n">
        <f aca="false">'Monthly Viewing Forecast'!F111*'Title Inputs'!$G$33</f>
        <v>1804.6037902365</v>
      </c>
      <c r="G147" s="41" t="n">
        <f aca="false">'Monthly Viewing Forecast'!G111*'Title Inputs'!$G$33</f>
        <v>1548.35005202291</v>
      </c>
      <c r="H147" s="41" t="n">
        <f aca="false">'Monthly Viewing Forecast'!H111*'Title Inputs'!$G$33</f>
        <v>1328.48434463566</v>
      </c>
      <c r="I147" s="41" t="n">
        <f aca="false">'Monthly Viewing Forecast'!I111*'Title Inputs'!$G$33</f>
        <v>1139.8395676974</v>
      </c>
      <c r="J147" s="41" t="n">
        <f aca="false">'Monthly Viewing Forecast'!J111*'Title Inputs'!$G$33</f>
        <v>977.982349084366</v>
      </c>
      <c r="K147" s="41" t="n">
        <f aca="false">'Monthly Viewing Forecast'!K111*'Title Inputs'!$G$33</f>
        <v>839.108855514386</v>
      </c>
      <c r="L147" s="41" t="n">
        <f aca="false">'Monthly Viewing Forecast'!L111*'Title Inputs'!$G$33</f>
        <v>719.955398031343</v>
      </c>
      <c r="M147" s="41" t="n">
        <f aca="false">'Monthly Viewing Forecast'!M111*'Title Inputs'!$G$33</f>
        <v>617.721731510892</v>
      </c>
      <c r="N147" s="41" t="n">
        <f aca="false">'Monthly Viewing Forecast'!N111*'Title Inputs'!$G$33</f>
        <v>530.005245636346</v>
      </c>
      <c r="O147" s="41" t="n">
        <f aca="false">'Monthly Viewing Forecast'!O111*'Title Inputs'!$G$33</f>
        <v>454.744500755984</v>
      </c>
      <c r="P147" s="41" t="n">
        <f aca="false">'Monthly Viewing Forecast'!P111*'Title Inputs'!$G$33</f>
        <v>390.170781648635</v>
      </c>
      <c r="Q147" s="41" t="n">
        <f aca="false">'Monthly Viewing Forecast'!Q111*'Title Inputs'!$G$33</f>
        <v>334.766530654529</v>
      </c>
      <c r="R147" s="41" t="n">
        <f aca="false">'Monthly Viewing Forecast'!R111*'Title Inputs'!$G$33</f>
        <v>287.229683301586</v>
      </c>
      <c r="S147" s="41" t="n">
        <f aca="false">'Monthly Viewing Forecast'!S111*'Title Inputs'!$G$33</f>
        <v>246.44306827276</v>
      </c>
      <c r="T147" s="41" t="n">
        <f aca="false">'Monthly Viewing Forecast'!T111*'Title Inputs'!$G$33</f>
        <v>211.448152578028</v>
      </c>
      <c r="U147" s="41" t="n">
        <f aca="false">'Monthly Viewing Forecast'!U111*'Title Inputs'!$G$33</f>
        <v>181.422514911948</v>
      </c>
      <c r="V147" s="41" t="n">
        <f aca="false">'Monthly Viewing Forecast'!V111*'Title Inputs'!$G$33</f>
        <v>155.660517794452</v>
      </c>
      <c r="W147" s="41" t="n">
        <f aca="false">'Monthly Viewing Forecast'!W111*'Title Inputs'!$G$33</f>
        <v>133.55672426764</v>
      </c>
      <c r="X147" s="41" t="n">
        <f aca="false">'Monthly Viewing Forecast'!X111*'Title Inputs'!$G$33</f>
        <v>114.591669421635</v>
      </c>
      <c r="Y147" s="41" t="n">
        <f aca="false">'Monthly Viewing Forecast'!Y111*'Title Inputs'!$G$33</f>
        <v>98.3196523637626</v>
      </c>
      <c r="Z147" s="41" t="n">
        <f aca="false">'Monthly Viewing Forecast'!Z111*'Title Inputs'!$G$33</f>
        <v>84.3582617281083</v>
      </c>
      <c r="AA147" s="41" t="n">
        <f aca="false">'Monthly Viewing Forecast'!AA111*'Title Inputs'!$G$33</f>
        <v>72.3793885627169</v>
      </c>
      <c r="AB147" s="41" t="n">
        <f aca="false">'Monthly Viewing Forecast'!AB111*'Title Inputs'!$G$33</f>
        <v>62.1015153868111</v>
      </c>
    </row>
    <row r="148" customFormat="false" ht="15" hidden="false" customHeight="false" outlineLevel="0" collapsed="false">
      <c r="A148" s="14"/>
      <c r="B148" s="9"/>
      <c r="C148" s="8" t="s">
        <v>216</v>
      </c>
      <c r="D148" s="34" t="n">
        <f aca="false">SUM(E148:AB148)</f>
        <v>-24110.2594965846</v>
      </c>
      <c r="E148" s="34" t="n">
        <f aca="false">E143+E144-E145-E146-E147</f>
        <v>-60431.4424817263</v>
      </c>
      <c r="F148" s="34" t="n">
        <f aca="false">F143+F144-F145-F146-F147</f>
        <v>-5046.08364932112</v>
      </c>
      <c r="G148" s="34" t="n">
        <f aca="false">G143+G144-G145-G146-G147</f>
        <v>987.03022888248</v>
      </c>
      <c r="H148" s="34" t="n">
        <f aca="false">H143+H144-H145-H146-H147</f>
        <v>2138.60153638117</v>
      </c>
      <c r="I148" s="34" t="n">
        <f aca="false">I143+I144-I145-I146-I147</f>
        <v>5696.60651821504</v>
      </c>
      <c r="J148" s="34" t="n">
        <f aca="false">J143+J144-J145-J146-J147</f>
        <v>4887.68839262851</v>
      </c>
      <c r="K148" s="34" t="n">
        <f aca="false">K143+K144-K145-K146-K147</f>
        <v>4193.63664087526</v>
      </c>
      <c r="L148" s="34" t="n">
        <f aca="false">L143+L144-L145-L146-L147</f>
        <v>3598.14023787097</v>
      </c>
      <c r="M148" s="34" t="n">
        <f aca="false">M143+M144-M145-M146-M147</f>
        <v>3087.20432409329</v>
      </c>
      <c r="N148" s="34" t="n">
        <f aca="false">N143+N144-N145-N146-N147</f>
        <v>2648.82131007205</v>
      </c>
      <c r="O148" s="34" t="n">
        <f aca="false">O143+O144-O145-O146-O147</f>
        <v>2272.68868404182</v>
      </c>
      <c r="P148" s="34" t="n">
        <f aca="false">P143+P144-P145-P146-P147</f>
        <v>1949.96689090788</v>
      </c>
      <c r="Q148" s="34" t="n">
        <f aca="false">Q143+Q144-Q145-Q146-Q147</f>
        <v>1673.07159239896</v>
      </c>
      <c r="R148" s="34" t="n">
        <f aca="false">R143+R144-R145-R146-R147</f>
        <v>1435.49542627831</v>
      </c>
      <c r="S148" s="34" t="n">
        <f aca="false">S143+S144-S145-S146-S147</f>
        <v>1231.65507574679</v>
      </c>
      <c r="T148" s="34" t="n">
        <f aca="false">T143+T144-T145-T146-T147</f>
        <v>1056.76005499074</v>
      </c>
      <c r="U148" s="34" t="n">
        <f aca="false">U143+U144-U145-U146-U147</f>
        <v>906.700127182058</v>
      </c>
      <c r="V148" s="34" t="n">
        <f aca="false">V143+V144-V145-V146-V147</f>
        <v>777.948709122205</v>
      </c>
      <c r="W148" s="34" t="n">
        <f aca="false">W143+W144-W145-W146-W147</f>
        <v>667.479992426852</v>
      </c>
      <c r="X148" s="34" t="n">
        <f aca="false">X143+X144-X145-X146-X147</f>
        <v>572.697833502239</v>
      </c>
      <c r="Y148" s="34" t="n">
        <f aca="false">Y143+Y144-Y145-Y146-Y147</f>
        <v>491.374741144921</v>
      </c>
      <c r="Z148" s="34" t="n">
        <f aca="false">Z143+Z144-Z145-Z146-Z147</f>
        <v>421.599527902342</v>
      </c>
      <c r="AA148" s="34" t="n">
        <f aca="false">AA143+AA144-AA145-AA146-AA147</f>
        <v>361.73239494021</v>
      </c>
      <c r="AB148" s="34" t="n">
        <f aca="false">AB143+AB144-AB145-AB146-AB147</f>
        <v>310.3663948587</v>
      </c>
    </row>
    <row r="150" customFormat="false" ht="15" hidden="false" customHeight="false" outlineLevel="0" collapsed="false">
      <c r="B150" s="42" t="s">
        <v>200</v>
      </c>
      <c r="C150" s="43" t="s">
        <v>217</v>
      </c>
      <c r="D150" s="34" t="n">
        <f aca="false">$D$115+$D$122+$D$129+$D$136+$D$143</f>
        <v>3385460.90225138</v>
      </c>
      <c r="E150" s="34" t="n">
        <f aca="false">E115+E122+E129+E136+E143</f>
        <v>406953.346914004</v>
      </c>
      <c r="F150" s="34" t="n">
        <f aca="false">F115+F122+F129+F136+F143</f>
        <v>360568.397757822</v>
      </c>
      <c r="G150" s="34" t="n">
        <f aca="false">G115+G122+G129+G136+G143</f>
        <v>319502.324985518</v>
      </c>
      <c r="H150" s="34" t="n">
        <f aca="false">H115+H122+H129+H136+H143</f>
        <v>283141.204693494</v>
      </c>
      <c r="I150" s="34" t="n">
        <f aca="false">I115+I122+I129+I136+I143</f>
        <v>250942.481051736</v>
      </c>
      <c r="J150" s="34" t="n">
        <f aca="false">J115+J122+J129+J136+J143</f>
        <v>222426.605935204</v>
      </c>
      <c r="K150" s="34" t="n">
        <f aca="false">K115+K122+K129+K136+K143</f>
        <v>197169.665975523</v>
      </c>
      <c r="L150" s="34" t="n">
        <f aca="false">L115+L122+L129+L136+L143</f>
        <v>174796.879398698</v>
      </c>
      <c r="M150" s="34" t="n">
        <f aca="false">M115+M122+M129+M136+M143</f>
        <v>154976.859155892</v>
      </c>
      <c r="N150" s="34" t="n">
        <f aca="false">N115+N122+N129+N136+N143</f>
        <v>137416.551279615</v>
      </c>
      <c r="O150" s="34" t="n">
        <f aca="false">O115+O122+O129+O136+O143</f>
        <v>121856.768317398</v>
      </c>
      <c r="P150" s="34" t="n">
        <f aca="false">P115+P122+P129+P136+P143</f>
        <v>108068.247293112</v>
      </c>
      <c r="Q150" s="34" t="n">
        <f aca="false">Q115+Q122+Q129+Q136+Q143</f>
        <v>95848.1700842299</v>
      </c>
      <c r="R150" s="34" t="n">
        <f aca="false">R115+R122+R129+R136+R143</f>
        <v>85017.091522906</v>
      </c>
      <c r="S150" s="34" t="n">
        <f aca="false">S115+S122+S129+S136+S143</f>
        <v>75416.2270538912</v>
      </c>
      <c r="T150" s="34" t="n">
        <f aca="false">T115+T122+T129+T136+T143</f>
        <v>66905.057521886</v>
      </c>
      <c r="U150" s="34" t="n">
        <f aca="false">U115+U122+U129+U136+U143</f>
        <v>59359.2137103952</v>
      </c>
      <c r="V150" s="34" t="n">
        <f aca="false">V115+V122+V129+V136+V143</f>
        <v>52668.60769724</v>
      </c>
      <c r="W150" s="34" t="n">
        <f aca="false">W115+W122+W129+W136+W143</f>
        <v>46735.7820021059</v>
      </c>
      <c r="X150" s="34" t="n">
        <f aca="false">X115+X122+X129+X136+X143</f>
        <v>41474.4509433616</v>
      </c>
      <c r="Y150" s="34" t="n">
        <f aca="false">Y115+Y122+Y129+Y136+Y143</f>
        <v>36808.2116514794</v>
      </c>
      <c r="Z150" s="34" t="n">
        <f aca="false">Z115+Z122+Z129+Z136+Z143</f>
        <v>32669.4048544533</v>
      </c>
      <c r="AA150" s="34" t="n">
        <f aca="false">AA115+AA122+AA129+AA136+AA143</f>
        <v>28998.1079002739</v>
      </c>
      <c r="AB150" s="34" t="n">
        <f aca="false">AB115+AB122+AB129+AB136+AB143</f>
        <v>25741.2445511447</v>
      </c>
    </row>
    <row r="151" customFormat="false" ht="15" hidden="false" customHeight="false" outlineLevel="0" collapsed="false">
      <c r="B151" s="42" t="s">
        <v>200</v>
      </c>
      <c r="C151" s="43" t="s">
        <v>218</v>
      </c>
      <c r="D151" s="34" t="n">
        <f aca="false">$D$116+$D$123+$D$130+$D$137+$D$144</f>
        <v>471663.750998915</v>
      </c>
      <c r="E151" s="34" t="n">
        <f aca="false">E116+E123+E130+E137+E144</f>
        <v>57098.0009769143</v>
      </c>
      <c r="F151" s="34" t="n">
        <f aca="false">F116+F123+F130+F137+F144</f>
        <v>50529.9091127058</v>
      </c>
      <c r="G151" s="34" t="n">
        <f aca="false">G116+G123+G130+G137+G144</f>
        <v>44722.5577039567</v>
      </c>
      <c r="H151" s="34" t="n">
        <f aca="false">H116+H123+H130+H137+H144</f>
        <v>39587.1791035703</v>
      </c>
      <c r="I151" s="34" t="n">
        <f aca="false">I116+I123+I130+I137+I144</f>
        <v>35045.4462717322</v>
      </c>
      <c r="J151" s="34" t="n">
        <f aca="false">J116+J123+J130+J137+J144</f>
        <v>31028.2343707215</v>
      </c>
      <c r="K151" s="34" t="n">
        <f aca="false">K116+K123+K130+K137+K144</f>
        <v>27474.5305605622</v>
      </c>
      <c r="L151" s="34" t="n">
        <f aca="false">L116+L123+L130+L137+L144</f>
        <v>24330.4740961589</v>
      </c>
      <c r="M151" s="34" t="n">
        <f aca="false">M116+M123+M130+M137+M144</f>
        <v>21548.5110089235</v>
      </c>
      <c r="N151" s="34" t="n">
        <f aca="false">N116+N123+N130+N137+N144</f>
        <v>19086.6495696157</v>
      </c>
      <c r="O151" s="34" t="n">
        <f aca="false">O116+O123+O130+O137+O144</f>
        <v>16907.8044075844</v>
      </c>
      <c r="P151" s="34" t="n">
        <f aca="false">P116+P123+P130+P137+P144</f>
        <v>14979.2186340117</v>
      </c>
      <c r="Q151" s="34" t="n">
        <f aca="false">Q116+Q123+Q130+Q137+Q144</f>
        <v>13271.9546086505</v>
      </c>
      <c r="R151" s="34" t="n">
        <f aca="false">R116+R123+R130+R137+R144</f>
        <v>11760.4451232722</v>
      </c>
      <c r="S151" s="34" t="n">
        <f aca="false">S116+S123+S130+S137+S144</f>
        <v>10422.0977701426</v>
      </c>
      <c r="T151" s="34" t="n">
        <f aca="false">T116+T123+T130+T137+T144</f>
        <v>9236.94613743771</v>
      </c>
      <c r="U151" s="34" t="n">
        <f aca="false">U116+U123+U130+U137+U144</f>
        <v>8187.34224057315</v>
      </c>
      <c r="V151" s="34" t="n">
        <f aca="false">V116+V123+V130+V137+V144</f>
        <v>7257.68527207527</v>
      </c>
      <c r="W151" s="34" t="n">
        <f aca="false">W116+W123+W130+W137+W144</f>
        <v>6434.18234433902</v>
      </c>
      <c r="X151" s="34" t="n">
        <f aca="false">X116+X123+X130+X137+X144</f>
        <v>5704.63741947083</v>
      </c>
      <c r="Y151" s="34" t="n">
        <f aca="false">Y116+Y123+Y130+Y137+Y144</f>
        <v>5058.26507720747</v>
      </c>
      <c r="Z151" s="34" t="n">
        <f aca="false">Z116+Z123+Z130+Z137+Z144</f>
        <v>4485.52617335974</v>
      </c>
      <c r="AA151" s="34" t="n">
        <f aca="false">AA116+AA123+AA130+AA137+AA144</f>
        <v>3977.98279411845</v>
      </c>
      <c r="AB151" s="34" t="n">
        <f aca="false">AB116+AB123+AB130+AB137+AB144</f>
        <v>3528.17022181131</v>
      </c>
    </row>
    <row r="152" customFormat="false" ht="15" hidden="false" customHeight="false" outlineLevel="0" collapsed="false">
      <c r="B152" s="42" t="s">
        <v>200</v>
      </c>
      <c r="C152" s="43" t="s">
        <v>219</v>
      </c>
      <c r="D152" s="34" t="n">
        <f aca="false">$D$117+$D$124+$D$131+$D$138+$D$145</f>
        <v>509250</v>
      </c>
      <c r="E152" s="34" t="n">
        <f aca="false">E117+E124+E131+E138+E145</f>
        <v>280087.5</v>
      </c>
      <c r="F152" s="34" t="n">
        <f aca="false">F117+F124+F131+F138+F145</f>
        <v>127312.5</v>
      </c>
      <c r="G152" s="34" t="n">
        <f aca="false">G117+G124+G131+G138+G145</f>
        <v>61110</v>
      </c>
      <c r="H152" s="34" t="n">
        <f aca="false">H117+H124+H131+H138+H145</f>
        <v>40740</v>
      </c>
      <c r="I152" s="34" t="n">
        <f aca="false">I117+I124+I131+I138+I145</f>
        <v>0</v>
      </c>
      <c r="J152" s="34" t="n">
        <f aca="false">J117+J124+J131+J138+J145</f>
        <v>0</v>
      </c>
      <c r="K152" s="34" t="n">
        <f aca="false">K117+K124+K131+K138+K145</f>
        <v>0</v>
      </c>
      <c r="L152" s="34" t="n">
        <f aca="false">L117+L124+L131+L138+L145</f>
        <v>0</v>
      </c>
      <c r="M152" s="34" t="n">
        <f aca="false">M117+M124+M131+M138+M145</f>
        <v>0</v>
      </c>
      <c r="N152" s="34" t="n">
        <f aca="false">N117+N124+N131+N138+N145</f>
        <v>0</v>
      </c>
      <c r="O152" s="34" t="n">
        <f aca="false">O117+O124+O131+O138+O145</f>
        <v>0</v>
      </c>
      <c r="P152" s="34" t="n">
        <f aca="false">P117+P124+P131+P138+P145</f>
        <v>0</v>
      </c>
      <c r="Q152" s="34" t="n">
        <f aca="false">Q117+Q124+Q131+Q138+Q145</f>
        <v>0</v>
      </c>
      <c r="R152" s="34" t="n">
        <f aca="false">R117+R124+R131+R138+R145</f>
        <v>0</v>
      </c>
      <c r="S152" s="34" t="n">
        <f aca="false">S117+S124+S131+S138+S145</f>
        <v>0</v>
      </c>
      <c r="T152" s="34" t="n">
        <f aca="false">T117+T124+T131+T138+T145</f>
        <v>0</v>
      </c>
      <c r="U152" s="34" t="n">
        <f aca="false">U117+U124+U131+U138+U145</f>
        <v>0</v>
      </c>
      <c r="V152" s="34" t="n">
        <f aca="false">V117+V124+V131+V138+V145</f>
        <v>0</v>
      </c>
      <c r="W152" s="34" t="n">
        <f aca="false">W117+W124+W131+W138+W145</f>
        <v>0</v>
      </c>
      <c r="X152" s="34" t="n">
        <f aca="false">X117+X124+X131+X138+X145</f>
        <v>0</v>
      </c>
      <c r="Y152" s="34" t="n">
        <f aca="false">Y117+Y124+Y131+Y138+Y145</f>
        <v>0</v>
      </c>
      <c r="Z152" s="34" t="n">
        <f aca="false">Z117+Z124+Z131+Z138+Z145</f>
        <v>0</v>
      </c>
      <c r="AA152" s="34" t="n">
        <f aca="false">AA117+AA124+AA131+AA138+AA145</f>
        <v>0</v>
      </c>
      <c r="AB152" s="34" t="n">
        <f aca="false">AB117+AB124+AB131+AB138+AB145</f>
        <v>0</v>
      </c>
    </row>
    <row r="153" customFormat="false" ht="15" hidden="false" customHeight="false" outlineLevel="0" collapsed="false">
      <c r="B153" s="42" t="s">
        <v>200</v>
      </c>
      <c r="C153" s="43" t="s">
        <v>220</v>
      </c>
      <c r="D153" s="34" t="n">
        <f aca="false">$D$118+$D$125+$D$132+$D$139+$D$146</f>
        <v>240000</v>
      </c>
      <c r="E153" s="34" t="n">
        <f aca="false">E118+E125+E132+E139+E146</f>
        <v>240000</v>
      </c>
      <c r="F153" s="34" t="n">
        <f aca="false">F118+F125+F132+F139+F146</f>
        <v>0</v>
      </c>
      <c r="G153" s="34" t="n">
        <f aca="false">G118+G125+G132+G139+G146</f>
        <v>0</v>
      </c>
      <c r="H153" s="34" t="n">
        <f aca="false">H118+H125+H132+H139+H146</f>
        <v>0</v>
      </c>
      <c r="I153" s="34" t="n">
        <f aca="false">I118+I125+I132+I139+I146</f>
        <v>0</v>
      </c>
      <c r="J153" s="34" t="n">
        <f aca="false">J118+J125+J132+J139+J146</f>
        <v>0</v>
      </c>
      <c r="K153" s="34" t="n">
        <f aca="false">K118+K125+K132+K139+K146</f>
        <v>0</v>
      </c>
      <c r="L153" s="34" t="n">
        <f aca="false">L118+L125+L132+L139+L146</f>
        <v>0</v>
      </c>
      <c r="M153" s="34" t="n">
        <f aca="false">M118+M125+M132+M139+M146</f>
        <v>0</v>
      </c>
      <c r="N153" s="34" t="n">
        <f aca="false">N118+N125+N132+N139+N146</f>
        <v>0</v>
      </c>
      <c r="O153" s="34" t="n">
        <f aca="false">O118+O125+O132+O139+O146</f>
        <v>0</v>
      </c>
      <c r="P153" s="34" t="n">
        <f aca="false">P118+P125+P132+P139+P146</f>
        <v>0</v>
      </c>
      <c r="Q153" s="34" t="n">
        <f aca="false">Q118+Q125+Q132+Q139+Q146</f>
        <v>0</v>
      </c>
      <c r="R153" s="34" t="n">
        <f aca="false">R118+R125+R132+R139+R146</f>
        <v>0</v>
      </c>
      <c r="S153" s="34" t="n">
        <f aca="false">S118+S125+S132+S139+S146</f>
        <v>0</v>
      </c>
      <c r="T153" s="34" t="n">
        <f aca="false">T118+T125+T132+T139+T146</f>
        <v>0</v>
      </c>
      <c r="U153" s="34" t="n">
        <f aca="false">U118+U125+U132+U139+U146</f>
        <v>0</v>
      </c>
      <c r="V153" s="34" t="n">
        <f aca="false">V118+V125+V132+V139+V146</f>
        <v>0</v>
      </c>
      <c r="W153" s="34" t="n">
        <f aca="false">W118+W125+W132+W139+W146</f>
        <v>0</v>
      </c>
      <c r="X153" s="34" t="n">
        <f aca="false">X118+X125+X132+X139+X146</f>
        <v>0</v>
      </c>
      <c r="Y153" s="34" t="n">
        <f aca="false">Y118+Y125+Y132+Y139+Y146</f>
        <v>0</v>
      </c>
      <c r="Z153" s="34" t="n">
        <f aca="false">Z118+Z125+Z132+Z139+Z146</f>
        <v>0</v>
      </c>
      <c r="AA153" s="34" t="n">
        <f aca="false">AA118+AA125+AA132+AA139+AA146</f>
        <v>0</v>
      </c>
      <c r="AB153" s="34" t="n">
        <f aca="false">AB118+AB125+AB132+AB139+AB146</f>
        <v>0</v>
      </c>
    </row>
    <row r="154" customFormat="false" ht="15" hidden="false" customHeight="false" outlineLevel="0" collapsed="false">
      <c r="B154" s="42" t="s">
        <v>200</v>
      </c>
      <c r="C154" s="43" t="s">
        <v>221</v>
      </c>
      <c r="D154" s="34" t="n">
        <f aca="false">$D$119+$D$126+$D$133+$D$140+$D$147</f>
        <v>340512.509661253</v>
      </c>
      <c r="E154" s="34" t="n">
        <f aca="false">E119+E126+E133+E140+E147</f>
        <v>41527.159149387</v>
      </c>
      <c r="F154" s="34" t="n">
        <f aca="false">F119+F126+F133+F140+F147</f>
        <v>36704.1294280258</v>
      </c>
      <c r="G154" s="34" t="n">
        <f aca="false">G119+G126+G133+G140+G147</f>
        <v>32445.6106518951</v>
      </c>
      <c r="H154" s="34" t="n">
        <f aca="false">H119+H126+H133+H140+H147</f>
        <v>28684.9798701801</v>
      </c>
      <c r="I154" s="34" t="n">
        <f aca="false">I119+I126+I133+I140+I147</f>
        <v>25363.5461800051</v>
      </c>
      <c r="J154" s="34" t="n">
        <f aca="false">J119+J126+J133+J140+J147</f>
        <v>22429.5976355177</v>
      </c>
      <c r="K154" s="34" t="n">
        <f aca="false">K119+K126+K133+K140+K147</f>
        <v>19837.563769788</v>
      </c>
      <c r="L154" s="34" t="n">
        <f aca="false">L119+L126+L133+L140+L147</f>
        <v>17547.2795687958</v>
      </c>
      <c r="M154" s="34" t="n">
        <f aca="false">M119+M126+M133+M140+M147</f>
        <v>15523.3384882548</v>
      </c>
      <c r="N154" s="34" t="n">
        <f aca="false">N119+N126+N133+N140+N147</f>
        <v>13734.5236367489</v>
      </c>
      <c r="O154" s="34" t="n">
        <f aca="false">O119+O126+O133+O140+O147</f>
        <v>12153.307590229</v>
      </c>
      <c r="P154" s="34" t="n">
        <f aca="false">P119+P126+P133+P140+P147</f>
        <v>10755.4124773881</v>
      </c>
      <c r="Q154" s="34" t="n">
        <f aca="false">Q119+Q126+Q133+Q140+Q147</f>
        <v>9519.42300383074</v>
      </c>
      <c r="R154" s="34" t="n">
        <f aca="false">R119+R126+R133+R140+R147</f>
        <v>8426.44598360964</v>
      </c>
      <c r="S154" s="34" t="n">
        <f aca="false">S119+S126+S133+S140+S147</f>
        <v>7459.81073564264</v>
      </c>
      <c r="T154" s="34" t="n">
        <f aca="false">T119+T126+T133+T140+T147</f>
        <v>6604.80539374114</v>
      </c>
      <c r="U154" s="34" t="n">
        <f aca="false">U119+U126+U133+U140+U147</f>
        <v>5848.44478469192</v>
      </c>
      <c r="V154" s="34" t="n">
        <f aca="false">V119+V126+V133+V140+V147</f>
        <v>5179.26605972519</v>
      </c>
      <c r="W154" s="34" t="n">
        <f aca="false">W119+W126+W133+W140+W147</f>
        <v>4587.14873009953</v>
      </c>
      <c r="X154" s="34" t="n">
        <f aca="false">X119+X126+X133+X140+X147</f>
        <v>4063.15616560062</v>
      </c>
      <c r="Y154" s="34" t="n">
        <f aca="false">Y119+Y126+Y133+Y140+Y147</f>
        <v>3599.39597261423</v>
      </c>
      <c r="Z154" s="34" t="n">
        <f aca="false">Z119+Z126+Z133+Z140+Z147</f>
        <v>3188.89698233336</v>
      </c>
      <c r="AA154" s="34" t="n">
        <f aca="false">AA119+AA126+AA133+AA140+AA147</f>
        <v>2825.50085504664</v>
      </c>
      <c r="AB154" s="34" t="n">
        <f aca="false">AB119+AB126+AB133+AB140+AB147</f>
        <v>2503.76654810235</v>
      </c>
    </row>
    <row r="155" customFormat="false" ht="15" hidden="false" customHeight="false" outlineLevel="0" collapsed="false">
      <c r="B155" s="42" t="s">
        <v>200</v>
      </c>
      <c r="C155" s="42" t="s">
        <v>222</v>
      </c>
      <c r="D155" s="34" t="n">
        <f aca="false">SUM(E155:AB155)</f>
        <v>3857124.6532503</v>
      </c>
      <c r="E155" s="34" t="n">
        <f aca="false">E150+E151</f>
        <v>464051.347890918</v>
      </c>
      <c r="F155" s="34" t="n">
        <f aca="false">F150+F151</f>
        <v>411098.306870528</v>
      </c>
      <c r="G155" s="34" t="n">
        <f aca="false">G150+G151</f>
        <v>364224.882689475</v>
      </c>
      <c r="H155" s="34" t="n">
        <f aca="false">H150+H151</f>
        <v>322728.383797065</v>
      </c>
      <c r="I155" s="34" t="n">
        <f aca="false">I150+I151</f>
        <v>285987.927323468</v>
      </c>
      <c r="J155" s="34" t="n">
        <f aca="false">J150+J151</f>
        <v>253454.840305925</v>
      </c>
      <c r="K155" s="34" t="n">
        <f aca="false">K150+K151</f>
        <v>224644.196536085</v>
      </c>
      <c r="L155" s="34" t="n">
        <f aca="false">L150+L151</f>
        <v>199127.353494857</v>
      </c>
      <c r="M155" s="34" t="n">
        <f aca="false">M150+M151</f>
        <v>176525.370164815</v>
      </c>
      <c r="N155" s="34" t="n">
        <f aca="false">N150+N151</f>
        <v>156503.20084923</v>
      </c>
      <c r="O155" s="34" t="n">
        <f aca="false">O150+O151</f>
        <v>138764.572724983</v>
      </c>
      <c r="P155" s="34" t="n">
        <f aca="false">P150+P151</f>
        <v>123047.465927124</v>
      </c>
      <c r="Q155" s="34" t="n">
        <f aca="false">Q150+Q151</f>
        <v>109120.12469288</v>
      </c>
      <c r="R155" s="34" t="n">
        <f aca="false">R150+R151</f>
        <v>96777.5366461781</v>
      </c>
      <c r="S155" s="34" t="n">
        <f aca="false">S150+S151</f>
        <v>85838.3248240339</v>
      </c>
      <c r="T155" s="34" t="n">
        <f aca="false">T150+T151</f>
        <v>76142.0036593237</v>
      </c>
      <c r="U155" s="34" t="n">
        <f aca="false">U150+U151</f>
        <v>67546.5559509684</v>
      </c>
      <c r="V155" s="34" t="n">
        <f aca="false">V150+V151</f>
        <v>59926.2929693152</v>
      </c>
      <c r="W155" s="34" t="n">
        <f aca="false">W150+W151</f>
        <v>53169.964346445</v>
      </c>
      <c r="X155" s="34" t="n">
        <f aca="false">X150+X151</f>
        <v>47179.0883628324</v>
      </c>
      <c r="Y155" s="34" t="n">
        <f aca="false">Y150+Y151</f>
        <v>41866.4767286869</v>
      </c>
      <c r="Z155" s="34" t="n">
        <f aca="false">Z150+Z151</f>
        <v>37154.931027813</v>
      </c>
      <c r="AA155" s="34" t="n">
        <f aca="false">AA150+AA151</f>
        <v>32976.0906943923</v>
      </c>
      <c r="AB155" s="34" t="n">
        <f aca="false">AB150+AB151</f>
        <v>29269.414772956</v>
      </c>
    </row>
    <row r="156" customFormat="false" ht="15" hidden="false" customHeight="false" outlineLevel="0" collapsed="false">
      <c r="B156" s="42" t="s">
        <v>200</v>
      </c>
      <c r="C156" s="42" t="s">
        <v>223</v>
      </c>
      <c r="D156" s="34" t="n">
        <f aca="false">SUM(E156:AB156)</f>
        <v>1089762.50966125</v>
      </c>
      <c r="E156" s="34" t="n">
        <f aca="false">E152+E153+E154</f>
        <v>561614.659149387</v>
      </c>
      <c r="F156" s="34" t="n">
        <f aca="false">F152+F153+F154</f>
        <v>164016.629428026</v>
      </c>
      <c r="G156" s="34" t="n">
        <f aca="false">G152+G153+G154</f>
        <v>93555.6106518951</v>
      </c>
      <c r="H156" s="34" t="n">
        <f aca="false">H152+H153+H154</f>
        <v>69424.9798701801</v>
      </c>
      <c r="I156" s="34" t="n">
        <f aca="false">I152+I153+I154</f>
        <v>25363.5461800051</v>
      </c>
      <c r="J156" s="34" t="n">
        <f aca="false">J152+J153+J154</f>
        <v>22429.5976355177</v>
      </c>
      <c r="K156" s="34" t="n">
        <f aca="false">K152+K153+K154</f>
        <v>19837.563769788</v>
      </c>
      <c r="L156" s="34" t="n">
        <f aca="false">L152+L153+L154</f>
        <v>17547.2795687958</v>
      </c>
      <c r="M156" s="34" t="n">
        <f aca="false">M152+M153+M154</f>
        <v>15523.3384882548</v>
      </c>
      <c r="N156" s="34" t="n">
        <f aca="false">N152+N153+N154</f>
        <v>13734.5236367489</v>
      </c>
      <c r="O156" s="34" t="n">
        <f aca="false">O152+O153+O154</f>
        <v>12153.307590229</v>
      </c>
      <c r="P156" s="34" t="n">
        <f aca="false">P152+P153+P154</f>
        <v>10755.4124773881</v>
      </c>
      <c r="Q156" s="34" t="n">
        <f aca="false">Q152+Q153+Q154</f>
        <v>9519.42300383074</v>
      </c>
      <c r="R156" s="34" t="n">
        <f aca="false">R152+R153+R154</f>
        <v>8426.44598360964</v>
      </c>
      <c r="S156" s="34" t="n">
        <f aca="false">S152+S153+S154</f>
        <v>7459.81073564264</v>
      </c>
      <c r="T156" s="34" t="n">
        <f aca="false">T152+T153+T154</f>
        <v>6604.80539374114</v>
      </c>
      <c r="U156" s="34" t="n">
        <f aca="false">U152+U153+U154</f>
        <v>5848.44478469192</v>
      </c>
      <c r="V156" s="34" t="n">
        <f aca="false">V152+V153+V154</f>
        <v>5179.26605972519</v>
      </c>
      <c r="W156" s="34" t="n">
        <f aca="false">W152+W153+W154</f>
        <v>4587.14873009953</v>
      </c>
      <c r="X156" s="34" t="n">
        <f aca="false">X152+X153+X154</f>
        <v>4063.15616560062</v>
      </c>
      <c r="Y156" s="34" t="n">
        <f aca="false">Y152+Y153+Y154</f>
        <v>3599.39597261423</v>
      </c>
      <c r="Z156" s="34" t="n">
        <f aca="false">Z152+Z153+Z154</f>
        <v>3188.89698233336</v>
      </c>
      <c r="AA156" s="34" t="n">
        <f aca="false">AA152+AA153+AA154</f>
        <v>2825.50085504664</v>
      </c>
      <c r="AB156" s="34" t="n">
        <f aca="false">AB152+AB153+AB154</f>
        <v>2503.76654810235</v>
      </c>
    </row>
    <row r="157" customFormat="false" ht="15" hidden="false" customHeight="false" outlineLevel="0" collapsed="false">
      <c r="B157" s="42" t="s">
        <v>200</v>
      </c>
      <c r="C157" s="42" t="s">
        <v>216</v>
      </c>
      <c r="D157" s="34" t="n">
        <f aca="false">SUM(E157:AB157)</f>
        <v>2767362.14358904</v>
      </c>
      <c r="E157" s="34" t="n">
        <f aca="false">E155-E156</f>
        <v>-97563.3112584691</v>
      </c>
      <c r="F157" s="34" t="n">
        <f aca="false">F155-F156</f>
        <v>247081.677442502</v>
      </c>
      <c r="G157" s="34" t="n">
        <f aca="false">G155-G156</f>
        <v>270669.272037579</v>
      </c>
      <c r="H157" s="34" t="n">
        <f aca="false">H155-H156</f>
        <v>253303.403926884</v>
      </c>
      <c r="I157" s="34" t="n">
        <f aca="false">I155-I156</f>
        <v>260624.381143463</v>
      </c>
      <c r="J157" s="34" t="n">
        <f aca="false">J155-J156</f>
        <v>231025.242670407</v>
      </c>
      <c r="K157" s="34" t="n">
        <f aca="false">K155-K156</f>
        <v>204806.632766297</v>
      </c>
      <c r="L157" s="34" t="n">
        <f aca="false">L155-L156</f>
        <v>181580.073926062</v>
      </c>
      <c r="M157" s="34" t="n">
        <f aca="false">M155-M156</f>
        <v>161002.03167656</v>
      </c>
      <c r="N157" s="34" t="n">
        <f aca="false">N155-N156</f>
        <v>142768.677212481</v>
      </c>
      <c r="O157" s="34" t="n">
        <f aca="false">O155-O156</f>
        <v>126611.265134754</v>
      </c>
      <c r="P157" s="34" t="n">
        <f aca="false">P155-P156</f>
        <v>112292.053449736</v>
      </c>
      <c r="Q157" s="34" t="n">
        <f aca="false">Q155-Q156</f>
        <v>99600.7016890497</v>
      </c>
      <c r="R157" s="34" t="n">
        <f aca="false">R155-R156</f>
        <v>88351.0906625685</v>
      </c>
      <c r="S157" s="34" t="n">
        <f aca="false">S155-S156</f>
        <v>78378.5140883912</v>
      </c>
      <c r="T157" s="34" t="n">
        <f aca="false">T155-T156</f>
        <v>69537.1982655826</v>
      </c>
      <c r="U157" s="34" t="n">
        <f aca="false">U155-U156</f>
        <v>61698.1111662765</v>
      </c>
      <c r="V157" s="34" t="n">
        <f aca="false">V155-V156</f>
        <v>54747.0269095901</v>
      </c>
      <c r="W157" s="34" t="n">
        <f aca="false">W155-W156</f>
        <v>48582.8156163454</v>
      </c>
      <c r="X157" s="34" t="n">
        <f aca="false">X155-X156</f>
        <v>43115.9321972318</v>
      </c>
      <c r="Y157" s="34" t="n">
        <f aca="false">Y155-Y156</f>
        <v>38267.0807560727</v>
      </c>
      <c r="Z157" s="34" t="n">
        <f aca="false">Z155-Z156</f>
        <v>33966.0340454797</v>
      </c>
      <c r="AA157" s="34" t="n">
        <f aca="false">AA155-AA156</f>
        <v>30150.5898393457</v>
      </c>
      <c r="AB157" s="34" t="n">
        <f aca="false">AB155-AB156</f>
        <v>26765.6482248537</v>
      </c>
    </row>
    <row r="158" customFormat="false" ht="15" hidden="false" customHeight="false" outlineLevel="0" collapsed="false">
      <c r="C158" s="9" t="s">
        <v>224</v>
      </c>
      <c r="D158" s="34" t="n">
        <f aca="false">SUMPRODUCT(E155:AB155,'Title Economics'!$E$6:$AB$6)</f>
        <v>3601828.08104202</v>
      </c>
    </row>
    <row r="159" customFormat="false" ht="15" hidden="false" customHeight="false" outlineLevel="0" collapsed="false">
      <c r="C159" s="9" t="s">
        <v>225</v>
      </c>
      <c r="D159" s="34" t="n">
        <f aca="false">SUMPRODUCT(E156:AB156,'Title Economics'!$E$6:$AB$6)</f>
        <v>1056931.78105653</v>
      </c>
    </row>
    <row r="160" customFormat="false" ht="15" hidden="false" customHeight="false" outlineLevel="0" collapsed="false">
      <c r="C160" s="9" t="s">
        <v>226</v>
      </c>
      <c r="D160" s="34" t="n">
        <f aca="false">SUMPRODUCT(E157:AB157,'Title Economics'!$E$6:$AB$6)</f>
        <v>2544896.29998549</v>
      </c>
    </row>
    <row r="161" customFormat="false" ht="15" hidden="false" customHeight="false" outlineLevel="0" collapsed="false">
      <c r="C161" s="9" t="s">
        <v>227</v>
      </c>
      <c r="D161" s="34" t="n">
        <f aca="false">SUMPRODUCT(E150:AB150,'Title Economics'!$E$6:$AB$6)</f>
        <v>3161259.54763893</v>
      </c>
    </row>
    <row r="162" customFormat="false" ht="15" hidden="false" customHeight="false" outlineLevel="0" collapsed="false">
      <c r="C162" s="9" t="s">
        <v>228</v>
      </c>
      <c r="D162" s="34" t="n">
        <f aca="false">SUMPRODUCT(E151:AB151,'Title Economics'!$E$6:$AB$6)</f>
        <v>440568.53340309</v>
      </c>
    </row>
    <row r="163" customFormat="false" ht="15" hidden="false" customHeight="false" outlineLevel="0" collapsed="false">
      <c r="C163" s="9" t="s">
        <v>229</v>
      </c>
      <c r="D163" s="34" t="n">
        <f aca="false">SUMPRODUCT(E154:AB154,'Title Economics'!$E$6:$AB$6)</f>
        <v>318169.901291694</v>
      </c>
    </row>
    <row r="164" customFormat="false" ht="15" hidden="false" customHeight="false" outlineLevel="0" collapsed="false">
      <c r="C164" s="9" t="s">
        <v>230</v>
      </c>
      <c r="D164" s="34" t="n">
        <f aca="false">SUMPRODUCT(E152:AB152,'Title Economics'!$E$6:$AB$6)+SUMPRODUCT(E153:AB153,'Title Economics'!$E$6:$AB$6)</f>
        <v>738761.879764837</v>
      </c>
    </row>
    <row r="167" customFormat="false" ht="15" hidden="false" customHeight="false" outlineLevel="0" collapsed="false">
      <c r="A167" s="5" t="s">
        <v>231</v>
      </c>
      <c r="B167" s="6"/>
      <c r="C167" s="6"/>
      <c r="D167" s="6"/>
      <c r="E167" s="6"/>
      <c r="F167" s="6"/>
      <c r="G167" s="6"/>
      <c r="H167" s="6"/>
      <c r="I167" s="6"/>
      <c r="J167" s="6"/>
    </row>
    <row r="168" customFormat="false" ht="15" hidden="false" customHeight="false" outlineLevel="0" collapsed="false">
      <c r="A168" s="8" t="s">
        <v>232</v>
      </c>
      <c r="C168" s="44" t="str">
        <f aca="false">Scenarios!$C$6</f>
        <v>Base</v>
      </c>
      <c r="I168" s="14" t="s">
        <v>233</v>
      </c>
    </row>
    <row r="169" customFormat="false" ht="15" hidden="false" customHeight="false" outlineLevel="0" collapsed="false">
      <c r="A169" s="23" t="s">
        <v>113</v>
      </c>
      <c r="C169" s="24" t="s">
        <v>122</v>
      </c>
      <c r="D169" s="24" t="s">
        <v>123</v>
      </c>
      <c r="E169" s="24" t="s">
        <v>124</v>
      </c>
      <c r="F169" s="24" t="s">
        <v>125</v>
      </c>
      <c r="G169" s="24" t="s">
        <v>126</v>
      </c>
      <c r="H169" s="24" t="s">
        <v>119</v>
      </c>
    </row>
    <row r="170" customFormat="false" ht="15" hidden="false" customHeight="false" outlineLevel="0" collapsed="false">
      <c r="A170" s="9" t="s">
        <v>234</v>
      </c>
      <c r="C170" s="40" t="n">
        <f aca="false">CHOOSE(Scenarios!$C$7,'Monthly Viewing Forecast'!$D$7,'Monthly Viewing Forecast'!$D$46,'Monthly Viewing Forecast'!$D$85)</f>
        <v>3600000</v>
      </c>
      <c r="D170" s="40" t="n">
        <f aca="false">CHOOSE(Scenarios!$C$7,'Monthly Viewing Forecast'!$D$13,'Monthly Viewing Forecast'!$D$52,'Monthly Viewing Forecast'!$D$91)</f>
        <v>3050000</v>
      </c>
      <c r="E170" s="40" t="n">
        <f aca="false">CHOOSE(Scenarios!$C$7,'Monthly Viewing Forecast'!$D$19,'Monthly Viewing Forecast'!$D$58,'Monthly Viewing Forecast'!$D$97)</f>
        <v>2500000</v>
      </c>
      <c r="F170" s="40" t="n">
        <f aca="false">CHOOSE(Scenarios!$C$7,'Monthly Viewing Forecast'!$D$25,'Monthly Viewing Forecast'!$D$64,'Monthly Viewing Forecast'!$D$103)</f>
        <v>1650000</v>
      </c>
      <c r="G170" s="40" t="n">
        <f aca="false">CHOOSE(Scenarios!$C$7,'Monthly Viewing Forecast'!$D$31,'Monthly Viewing Forecast'!$D$70,'Monthly Viewing Forecast'!$D$109)</f>
        <v>850000</v>
      </c>
      <c r="H170" s="27" t="n">
        <f aca="false">SUM(C170:G170)</f>
        <v>11650000</v>
      </c>
    </row>
    <row r="171" customFormat="false" ht="15" hidden="false" customHeight="false" outlineLevel="0" collapsed="false">
      <c r="A171" s="9" t="s">
        <v>197</v>
      </c>
      <c r="C171" s="40" t="n">
        <f aca="false">CHOOSE(Scenarios!$C$7,'Monthly Viewing Forecast'!$D$9,'Monthly Viewing Forecast'!$D$48,'Monthly Viewing Forecast'!$D$87)</f>
        <v>5890560</v>
      </c>
      <c r="D171" s="40" t="n">
        <f aca="false">CHOOSE(Scenarios!$C$7,'Monthly Viewing Forecast'!$D$15,'Monthly Viewing Forecast'!$D$54,'Monthly Viewing Forecast'!$D$93)</f>
        <v>4306437.33333333</v>
      </c>
      <c r="E171" s="40" t="n">
        <f aca="false">CHOOSE(Scenarios!$C$7,'Monthly Viewing Forecast'!$D$21,'Monthly Viewing Forecast'!$D$60,'Monthly Viewing Forecast'!$D$99)</f>
        <v>3127000</v>
      </c>
      <c r="F171" s="40" t="n">
        <f aca="false">CHOOSE(Scenarios!$C$7,'Monthly Viewing Forecast'!$D$27,'Monthly Viewing Forecast'!$D$66,'Monthly Viewing Forecast'!$D$105)</f>
        <v>1965183</v>
      </c>
      <c r="G171" s="40" t="n">
        <f aca="false">CHOOSE(Scenarios!$C$7,'Monthly Viewing Forecast'!$D$33,'Monthly Viewing Forecast'!$D$72,'Monthly Viewing Forecast'!$D$111)</f>
        <v>681615</v>
      </c>
      <c r="H171" s="27" t="n">
        <f aca="false">SUM(C171:G171)</f>
        <v>15970795.3333333</v>
      </c>
    </row>
    <row r="172" customFormat="false" ht="15" hidden="false" customHeight="false" outlineLevel="0" collapsed="false">
      <c r="A172" s="9" t="s">
        <v>198</v>
      </c>
      <c r="C172" s="40" t="n">
        <f aca="false">CHOOSE(Scenarios!$C$7,'Monthly Viewing Forecast'!$D$10,'Monthly Viewing Forecast'!$D$49,'Monthly Viewing Forecast'!$D$88)</f>
        <v>77284147.2</v>
      </c>
      <c r="D172" s="40" t="n">
        <f aca="false">CHOOSE(Scenarios!$C$7,'Monthly Viewing Forecast'!$D$16,'Monthly Viewing Forecast'!$D$55,'Monthly Viewing Forecast'!$D$94)</f>
        <v>55811427.84</v>
      </c>
      <c r="E172" s="40" t="n">
        <f aca="false">CHOOSE(Scenarios!$C$7,'Monthly Viewing Forecast'!$D$22,'Monthly Viewing Forecast'!$D$61,'Monthly Viewing Forecast'!$D$100)</f>
        <v>38774800</v>
      </c>
      <c r="F172" s="40" t="n">
        <f aca="false">CHOOSE(Scenarios!$C$7,'Monthly Viewing Forecast'!$D$28,'Monthly Viewing Forecast'!$D$67,'Monthly Viewing Forecast'!$D$106)</f>
        <v>22697863.65</v>
      </c>
      <c r="G172" s="40" t="n">
        <f aca="false">CHOOSE(Scenarios!$C$7,'Monthly Viewing Forecast'!$D$34,'Monthly Viewing Forecast'!$D$73,'Monthly Viewing Forecast'!$D$112)</f>
        <v>7668168.75</v>
      </c>
      <c r="H172" s="27" t="n">
        <f aca="false">SUM(C172:G172)</f>
        <v>202236407.44</v>
      </c>
    </row>
    <row r="173" customFormat="false" ht="15" hidden="false" customHeight="false" outlineLevel="0" collapsed="false">
      <c r="A173" s="9" t="s">
        <v>199</v>
      </c>
      <c r="C173" s="41" t="n">
        <f aca="false">CHOOSE(Scenarios!$C$7,'Monthly Viewing Forecast'!$D$11,'Monthly Viewing Forecast'!$D$50,'Monthly Viewing Forecast'!$D$89)</f>
        <v>1970745.7536</v>
      </c>
      <c r="D173" s="41" t="n">
        <f aca="false">CHOOSE(Scenarios!$C$7,'Monthly Viewing Forecast'!$D$17,'Monthly Viewing Forecast'!$D$56,'Monthly Viewing Forecast'!$D$95)</f>
        <v>1339474.26816</v>
      </c>
      <c r="E173" s="41" t="n">
        <f aca="false">CHOOSE(Scenarios!$C$7,'Monthly Viewing Forecast'!$D$23,'Monthly Viewing Forecast'!$D$62,'Monthly Viewing Forecast'!$D$101)</f>
        <v>891820.4</v>
      </c>
      <c r="F173" s="41" t="n">
        <f aca="false">CHOOSE(Scenarios!$C$7,'Monthly Viewing Forecast'!$D$29,'Monthly Viewing Forecast'!$D$68,'Monthly Viewing Forecast'!$D$107)</f>
        <v>476655.13665</v>
      </c>
      <c r="G173" s="41" t="n">
        <f aca="false">CHOOSE(Scenarios!$C$7,'Monthly Viewing Forecast'!$D$35,'Monthly Viewing Forecast'!$D$74,'Monthly Viewing Forecast'!$D$113)</f>
        <v>149529.290625</v>
      </c>
      <c r="H173" s="34" t="n">
        <f aca="false">SUM(C173:G173)</f>
        <v>4828224.849035</v>
      </c>
    </row>
    <row r="174" customFormat="false" ht="15" hidden="false" customHeight="false" outlineLevel="0" collapsed="false">
      <c r="A174" s="9" t="s">
        <v>213</v>
      </c>
      <c r="C174" s="41" t="n">
        <f aca="false">CHOOSE(Scenarios!$C$7,'Title Economics'!$D$9,'Title Economics'!$D$62,'Title Economics'!$D$115)</f>
        <v>1221862.367232</v>
      </c>
      <c r="D174" s="41" t="n">
        <f aca="false">CHOOSE(Scenarios!$C$7,'Title Economics'!$D$16,'Title Economics'!$D$69,'Title Economics'!$D$122)</f>
        <v>776895.0755328</v>
      </c>
      <c r="E174" s="41" t="n">
        <f aca="false">CHOOSE(Scenarios!$C$7,'Title Economics'!$D$23,'Title Economics'!$D$76,'Title Economics'!$D$129)</f>
        <v>490501.22</v>
      </c>
      <c r="F174" s="41" t="n">
        <f aca="false">CHOOSE(Scenarios!$C$7,'Title Economics'!$D$30,'Title Economics'!$D$83,'Title Economics'!$D$136)</f>
        <v>224027.9142255</v>
      </c>
      <c r="G174" s="41" t="n">
        <f aca="false">CHOOSE(Scenarios!$C$7,'Title Economics'!$D$37,'Title Economics'!$D$90,'Title Economics'!$D$143)</f>
        <v>59811.71625</v>
      </c>
      <c r="H174" s="34" t="n">
        <f aca="false">SUM(C174:G174)</f>
        <v>2773098.2932403</v>
      </c>
    </row>
    <row r="175" customFormat="false" ht="15" hidden="false" customHeight="false" outlineLevel="0" collapsed="false">
      <c r="A175" s="9" t="s">
        <v>214</v>
      </c>
      <c r="C175" s="41" t="n">
        <f aca="false">CHOOSE(Scenarios!$C$7,'Title Economics'!$D$10,'Title Economics'!$D$63,'Title Economics'!$D$116)</f>
        <v>164346.624</v>
      </c>
      <c r="D175" s="41" t="n">
        <f aca="false">CHOOSE(Scenarios!$C$7,'Title Economics'!$D$17,'Title Economics'!$D$70,'Title Economics'!$D$123)</f>
        <v>112398.0144</v>
      </c>
      <c r="E175" s="41" t="n">
        <f aca="false">CHOOSE(Scenarios!$C$7,'Title Economics'!$D$24,'Title Economics'!$D$77,'Title Economics'!$D$130)</f>
        <v>77393.25</v>
      </c>
      <c r="F175" s="41" t="n">
        <f aca="false">CHOOSE(Scenarios!$C$7,'Title Economics'!$D$31,'Title Economics'!$D$84,'Title Economics'!$D$137)</f>
        <v>41563.62045</v>
      </c>
      <c r="G175" s="41" t="n">
        <f aca="false">CHOOSE(Scenarios!$C$7,'Title Economics'!$D$38,'Title Economics'!$D$91,'Title Economics'!$D$144)</f>
        <v>12269.07</v>
      </c>
      <c r="H175" s="34" t="n">
        <f aca="false">SUM(C175:G175)</f>
        <v>407970.57885</v>
      </c>
    </row>
    <row r="176" customFormat="false" ht="15" hidden="false" customHeight="false" outlineLevel="0" collapsed="false">
      <c r="A176" s="9" t="s">
        <v>223</v>
      </c>
      <c r="C176" s="41" t="n">
        <f aca="false">CHOOSE(Scenarios!$C$7,'Title Economics'!$D$11+'Title Economics'!$D$12+'Title Economics'!$D$13,'Title Economics'!$D$64+'Title Economics'!$D$65+'Title Economics'!$D$66,'Title Economics'!$D$117+'Title Economics'!$D$118+'Title Economics'!$D$119)</f>
        <v>334920.64</v>
      </c>
      <c r="D176" s="41" t="n">
        <f aca="false">CHOOSE(Scenarios!$C$7,'Title Economics'!$D$18+'Title Economics'!$D$19+'Title Economics'!$D$20,'Title Economics'!$D$71+'Title Economics'!$D$72+'Title Economics'!$D$73,'Title Economics'!$D$124+'Title Economics'!$D$125+'Title Economics'!$D$126)</f>
        <v>263822.309333333</v>
      </c>
      <c r="E176" s="41" t="n">
        <f aca="false">CHOOSE(Scenarios!$C$7,'Title Economics'!$D$25+'Title Economics'!$D$26+'Title Economics'!$D$27,'Title Economics'!$D$78+'Title Economics'!$D$79+'Title Economics'!$D$80,'Title Economics'!$D$131+'Title Economics'!$D$132+'Title Economics'!$D$133)</f>
        <v>205413</v>
      </c>
      <c r="F176" s="41" t="n">
        <f aca="false">CHOOSE(Scenarios!$C$7,'Title Economics'!$D$32+'Title Economics'!$D$33+'Title Economics'!$D$34,'Title Economics'!$D$85+'Title Economics'!$D$86+'Title Economics'!$D$87,'Title Economics'!$D$138+'Title Economics'!$D$139+'Title Economics'!$D$140)</f>
        <v>153338.477</v>
      </c>
      <c r="G176" s="41" t="n">
        <f aca="false">CHOOSE(Scenarios!$C$7,'Title Economics'!$D$39+'Title Economics'!$D$40+'Title Economics'!$D$41,'Title Economics'!$D$92+'Title Economics'!$D$93+'Title Economics'!$D$94,'Title Economics'!$D$145+'Title Economics'!$D$146+'Title Economics'!$D$147)</f>
        <v>110950.685</v>
      </c>
      <c r="H176" s="34" t="n">
        <f aca="false">SUM(C176:G176)</f>
        <v>1068445.11133333</v>
      </c>
    </row>
    <row r="177" customFormat="false" ht="15" hidden="false" customHeight="false" outlineLevel="0" collapsed="false">
      <c r="A177" s="8" t="s">
        <v>216</v>
      </c>
      <c r="C177" s="34" t="n">
        <f aca="false">CHOOSE(Scenarios!$C$7,'Title Economics'!$D$14,'Title Economics'!$D$67,'Title Economics'!$D$120)</f>
        <v>1051288.351232</v>
      </c>
      <c r="D177" s="34" t="n">
        <f aca="false">CHOOSE(Scenarios!$C$7,'Title Economics'!$D$21,'Title Economics'!$D$74,'Title Economics'!$D$127)</f>
        <v>625470.780599467</v>
      </c>
      <c r="E177" s="34" t="n">
        <f aca="false">CHOOSE(Scenarios!$C$7,'Title Economics'!$D$28,'Title Economics'!$D$81,'Title Economics'!$D$134)</f>
        <v>362481.47</v>
      </c>
      <c r="F177" s="34" t="n">
        <f aca="false">CHOOSE(Scenarios!$C$7,'Title Economics'!$D$35,'Title Economics'!$D$88,'Title Economics'!$D$141)</f>
        <v>112253.0576755</v>
      </c>
      <c r="G177" s="34" t="n">
        <f aca="false">CHOOSE(Scenarios!$C$7,'Title Economics'!$D$42,'Title Economics'!$D$95,'Title Economics'!$D$148)</f>
        <v>-38869.89875</v>
      </c>
      <c r="H177" s="34" t="n">
        <f aca="false">SUM(C177:G177)</f>
        <v>2112623.76075697</v>
      </c>
    </row>
    <row r="178" customFormat="false" ht="15" hidden="false" customHeight="false" outlineLevel="0" collapsed="false">
      <c r="A178" s="9" t="s">
        <v>235</v>
      </c>
      <c r="C178" s="21" t="n">
        <f aca="false">C177/$H$177</f>
        <v>0.497622137344189</v>
      </c>
      <c r="D178" s="21" t="n">
        <f aca="false">D177/$H$177</f>
        <v>0.296063498015073</v>
      </c>
      <c r="E178" s="21" t="n">
        <f aca="false">E177/$H$177</f>
        <v>0.171578809598412</v>
      </c>
      <c r="F178" s="21" t="n">
        <f aca="false">F177/$H$177</f>
        <v>0.0531344292157724</v>
      </c>
      <c r="G178" s="21" t="n">
        <f aca="false">G177/$H$177</f>
        <v>-0.0183988741734461</v>
      </c>
      <c r="H178" s="36" t="n">
        <f aca="false">SUM(C178:G178)</f>
        <v>1</v>
      </c>
    </row>
    <row r="179" customFormat="false" ht="15" hidden="false" customHeight="false" outlineLevel="0" collapsed="false">
      <c r="A179" s="9" t="s">
        <v>236</v>
      </c>
      <c r="C179" s="21" t="n">
        <f aca="false">'Title Inputs'!$C$35</f>
        <v>0.32</v>
      </c>
      <c r="D179" s="21" t="n">
        <f aca="false">'Title Inputs'!$D$35</f>
        <v>0.26</v>
      </c>
      <c r="E179" s="21" t="n">
        <f aca="false">'Title Inputs'!$E$35</f>
        <v>0.2</v>
      </c>
      <c r="F179" s="21" t="n">
        <f aca="false">'Title Inputs'!$F$35</f>
        <v>0.13</v>
      </c>
      <c r="G179" s="21" t="n">
        <f aca="false">'Title Inputs'!$G$35</f>
        <v>0.09</v>
      </c>
      <c r="H179" s="36" t="n">
        <f aca="false">SUM(C179:G179)</f>
        <v>1</v>
      </c>
    </row>
    <row r="180" customFormat="false" ht="15" hidden="false" customHeight="false" outlineLevel="0" collapsed="false">
      <c r="A180" s="9" t="s">
        <v>237</v>
      </c>
      <c r="C180" s="41" t="n">
        <f aca="false">C179*Scenarios!$C$66</f>
        <v>479525.329874134</v>
      </c>
      <c r="D180" s="41" t="n">
        <f aca="false">D179*Scenarios!$C$66</f>
        <v>389614.330522734</v>
      </c>
      <c r="E180" s="41" t="n">
        <f aca="false">E179*Scenarios!$C$66</f>
        <v>299703.331171334</v>
      </c>
      <c r="F180" s="41" t="n">
        <f aca="false">F179*Scenarios!$C$66</f>
        <v>194807.165261367</v>
      </c>
      <c r="G180" s="41" t="n">
        <f aca="false">G179*Scenarios!$C$66</f>
        <v>134866.4990271</v>
      </c>
      <c r="H180" s="34" t="n">
        <f aca="false">SUM(C180:G180)</f>
        <v>1498516.65585667</v>
      </c>
    </row>
    <row r="181" customFormat="false" ht="15" hidden="false" customHeight="false" outlineLevel="0" collapsed="false">
      <c r="A181" s="8" t="s">
        <v>238</v>
      </c>
      <c r="C181" s="34" t="n">
        <f aca="false">C177-C180</f>
        <v>571763.021357866</v>
      </c>
      <c r="D181" s="34" t="n">
        <f aca="false">D177-D180</f>
        <v>235856.450076732</v>
      </c>
      <c r="E181" s="34" t="n">
        <f aca="false">E177-E180</f>
        <v>62778.138828666</v>
      </c>
      <c r="F181" s="34" t="n">
        <f aca="false">F177-F180</f>
        <v>-82554.1075858672</v>
      </c>
      <c r="G181" s="34" t="n">
        <f aca="false">G177-G180</f>
        <v>-173736.3977771</v>
      </c>
      <c r="H181" s="34" t="n">
        <f aca="false">SUM(C181:G181)</f>
        <v>614107.104900297</v>
      </c>
    </row>
    <row r="182" customFormat="false" ht="15" hidden="false" customHeight="false" outlineLevel="0" collapsed="false">
      <c r="A182" s="9" t="s">
        <v>224</v>
      </c>
      <c r="C182" s="41" t="n">
        <f aca="false">CHOOSE(Scenarios!$C$7,SUMPRODUCT($E$9:$AB$9,'Title Economics'!$E$6:$AB$6)+SUMPRODUCT($E$10:$AB$10,'Title Economics'!$E$6:$AB$6),SUMPRODUCT($E$62:$AB$62,'Title Economics'!$E$6:$AB$6)+SUMPRODUCT($E$63:$AB$63,'Title Economics'!$E$6:$AB$6),SUMPRODUCT($E$115:$AB$115,'Title Economics'!$E$6:$AB$6)+SUMPRODUCT($E$116:$AB$116,'Title Economics'!$E$6:$AB$6))</f>
        <v>1295167.63292885</v>
      </c>
      <c r="D182" s="41" t="n">
        <f aca="false">CHOOSE(Scenarios!$C$7,SUMPRODUCT($E$16:$AB$16,'Title Economics'!$E$6:$AB$6)+SUMPRODUCT($E$17:$AB$17,'Title Economics'!$E$6:$AB$6),SUMPRODUCT($E$69:$AB$69,'Title Economics'!$E$6:$AB$6)+SUMPRODUCT($E$70:$AB$70,'Title Economics'!$E$6:$AB$6),SUMPRODUCT($E$122:$AB$122,'Title Economics'!$E$6:$AB$6)+SUMPRODUCT($E$123:$AB$123,'Title Economics'!$E$6:$AB$6))</f>
        <v>832280.20871414</v>
      </c>
      <c r="E182" s="41" t="n">
        <f aca="false">CHOOSE(Scenarios!$C$7,SUMPRODUCT($E$23:$AB$23,'Title Economics'!$E$6:$AB$6)+SUMPRODUCT($E$24:$AB$24,'Title Economics'!$E$6:$AB$6),SUMPRODUCT($E$76:$AB$76,'Title Economics'!$E$6:$AB$6)+SUMPRODUCT($E$77:$AB$77,'Title Economics'!$E$6:$AB$6),SUMPRODUCT($E$129:$AB$129,'Title Economics'!$E$6:$AB$6)+SUMPRODUCT($E$130:$AB$130,'Title Economics'!$E$6:$AB$6))</f>
        <v>532862.456185707</v>
      </c>
      <c r="F182" s="41" t="n">
        <f aca="false">CHOOSE(Scenarios!$C$7,SUMPRODUCT($E$30:$AB$30,'Title Economics'!$E$6:$AB$6)+SUMPRODUCT($E$31:$AB$31,'Title Economics'!$E$6:$AB$6),SUMPRODUCT($E$83:$AB$83,'Title Economics'!$E$6:$AB$6)+SUMPRODUCT($E$84:$AB$84,'Title Economics'!$E$6:$AB$6),SUMPRODUCT($E$136:$AB$136,'Title Economics'!$E$6:$AB$6)+SUMPRODUCT($E$137:$AB$137,'Title Economics'!$E$6:$AB$6))</f>
        <v>250121.705871394</v>
      </c>
      <c r="G182" s="41" t="n">
        <f aca="false">CHOOSE(Scenarios!$C$7,SUMPRODUCT($E$37:$AB$37,'Title Economics'!$E$6:$AB$6)+SUMPRODUCT($E$38:$AB$38,'Title Economics'!$E$6:$AB$6),SUMPRODUCT($E$90:$AB$90,'Title Economics'!$E$6:$AB$6)+SUMPRODUCT($E$91:$AB$91,'Title Economics'!$E$6:$AB$6),SUMPRODUCT($E$143:$AB$143,'Title Economics'!$E$6:$AB$6)+SUMPRODUCT($E$144:$AB$144,'Title Economics'!$E$6:$AB$6))</f>
        <v>68076.2546328378</v>
      </c>
      <c r="H182" s="34" t="n">
        <f aca="false">SUM(C182:G182)</f>
        <v>2978508.25833293</v>
      </c>
    </row>
    <row r="183" customFormat="false" ht="15" hidden="false" customHeight="false" outlineLevel="0" collapsed="false">
      <c r="A183" s="9" t="s">
        <v>225</v>
      </c>
      <c r="C183" s="41" t="n">
        <f aca="false">CHOOSE(Scenarios!$C$7,SUMPRODUCT($E$11:$AB$11,'Title Economics'!$E$6:$AB$6)+SUMPRODUCT($E$12:$AB$12,'Title Economics'!$E$6:$AB$6)+SUMPRODUCT($E$13:$AB$13,'Title Economics'!$E$6:$AB$6),SUMPRODUCT($E$64:$AB$64,'Title Economics'!$E$6:$AB$6)+SUMPRODUCT($E$65:$AB$65,'Title Economics'!$E$6:$AB$6)+SUMPRODUCT($E$66:$AB$66,'Title Economics'!$E$6:$AB$6),SUMPRODUCT($E$117:$AB$117,'Title Economics'!$E$6:$AB$6)+SUMPRODUCT($E$118:$AB$118,'Title Economics'!$E$6:$AB$6)+SUMPRODUCT($E$119:$AB$119,'Title Economics'!$E$6:$AB$6))</f>
        <v>324357.620489559</v>
      </c>
      <c r="D183" s="41" t="n">
        <f aca="false">CHOOSE(Scenarios!$C$7,SUMPRODUCT($E$18:$AB$18,'Title Economics'!$E$6:$AB$6)+SUMPRODUCT($E$19:$AB$19,'Title Economics'!$E$6:$AB$6)+SUMPRODUCT($E$20:$AB$20,'Title Economics'!$E$6:$AB$6),SUMPRODUCT($E$71:$AB$71,'Title Economics'!$E$6:$AB$6)+SUMPRODUCT($E$72:$AB$72,'Title Economics'!$E$6:$AB$6)+SUMPRODUCT($E$73:$AB$73,'Title Economics'!$E$6:$AB$6),SUMPRODUCT($E$124:$AB$124,'Title Economics'!$E$6:$AB$6)+SUMPRODUCT($E$125:$AB$125,'Title Economics'!$E$6:$AB$6)+SUMPRODUCT($E$126:$AB$126,'Title Economics'!$E$6:$AB$6))</f>
        <v>255986.375687112</v>
      </c>
      <c r="E183" s="41" t="n">
        <f aca="false">CHOOSE(Scenarios!$C$7,SUMPRODUCT($E$25:$AB$25,'Title Economics'!$E$6:$AB$6)+SUMPRODUCT($E$26:$AB$26,'Title Economics'!$E$6:$AB$6)+SUMPRODUCT($E$27:$AB$27,'Title Economics'!$E$6:$AB$6),SUMPRODUCT($E$78:$AB$78,'Title Economics'!$E$6:$AB$6)+SUMPRODUCT($E$79:$AB$79,'Title Economics'!$E$6:$AB$6)+SUMPRODUCT($E$80:$AB$80,'Title Economics'!$E$6:$AB$6),SUMPRODUCT($E$131:$AB$131,'Title Economics'!$E$6:$AB$6)+SUMPRODUCT($E$132:$AB$132,'Title Economics'!$E$6:$AB$6)+SUMPRODUCT($E$133:$AB$133,'Title Economics'!$E$6:$AB$6))</f>
        <v>199699.039178877</v>
      </c>
      <c r="F183" s="41" t="n">
        <f aca="false">CHOOSE(Scenarios!$C$7,SUMPRODUCT($E$32:$AB$32,'Title Economics'!$E$6:$AB$6)+SUMPRODUCT($E$33:$AB$33,'Title Economics'!$E$6:$AB$6)+SUMPRODUCT($E$34:$AB$34,'Title Economics'!$E$6:$AB$6),SUMPRODUCT($E$85:$AB$85,'Title Economics'!$E$6:$AB$6)+SUMPRODUCT($E$86:$AB$86,'Title Economics'!$E$6:$AB$6)+SUMPRODUCT($E$87:$AB$87,'Title Economics'!$E$6:$AB$6),SUMPRODUCT($E$138:$AB$138,'Title Economics'!$E$6:$AB$6)+SUMPRODUCT($E$139:$AB$139,'Title Economics'!$E$6:$AB$6)+SUMPRODUCT($E$140:$AB$140,'Title Economics'!$E$6:$AB$6))</f>
        <v>149586.144880454</v>
      </c>
      <c r="G183" s="41" t="n">
        <f aca="false">CHOOSE(Scenarios!$C$7,SUMPRODUCT($E$39:$AB$39,'Title Economics'!$E$6:$AB$6)+SUMPRODUCT($E$40:$AB$40,'Title Economics'!$E$6:$AB$6)+SUMPRODUCT($E$41:$AB$41,'Title Economics'!$E$6:$AB$6),SUMPRODUCT($E$92:$AB$92,'Title Economics'!$E$6:$AB$6)+SUMPRODUCT($E$93:$AB$93,'Title Economics'!$E$6:$AB$6)+SUMPRODUCT($E$94:$AB$94,'Title Economics'!$E$6:$AB$6),SUMPRODUCT($E$145:$AB$145,'Title Economics'!$E$6:$AB$6)+SUMPRODUCT($E$146:$AB$146,'Title Economics'!$E$6:$AB$6)+SUMPRODUCT($E$147:$AB$147,'Title Economics'!$E$6:$AB$6))</f>
        <v>108917.619021776</v>
      </c>
      <c r="H183" s="34" t="n">
        <f aca="false">SUM(C183:G183)</f>
        <v>1038546.79925778</v>
      </c>
    </row>
    <row r="184" customFormat="false" ht="15" hidden="false" customHeight="false" outlineLevel="0" collapsed="false">
      <c r="A184" s="9" t="s">
        <v>239</v>
      </c>
      <c r="C184" s="41" t="n">
        <f aca="false">C180*Assumptions!$C$34</f>
        <v>461933.893126292</v>
      </c>
      <c r="D184" s="41" t="n">
        <f aca="false">D180*Assumptions!$C$34</f>
        <v>375321.288165113</v>
      </c>
      <c r="E184" s="41" t="n">
        <f aca="false">E180*Assumptions!$C$34</f>
        <v>288708.683203933</v>
      </c>
      <c r="F184" s="41" t="n">
        <f aca="false">F180*Assumptions!$C$34</f>
        <v>187660.644082556</v>
      </c>
      <c r="G184" s="41" t="n">
        <f aca="false">G180*Assumptions!$C$34</f>
        <v>129918.90744177</v>
      </c>
      <c r="H184" s="34" t="n">
        <f aca="false">SUM(C184:G184)</f>
        <v>1443543.41601966</v>
      </c>
    </row>
    <row r="185" customFormat="false" ht="15" hidden="false" customHeight="false" outlineLevel="0" collapsed="false">
      <c r="A185" s="8" t="s">
        <v>240</v>
      </c>
      <c r="C185" s="34" t="n">
        <f aca="false">C182-C183-C184</f>
        <v>508876.119312998</v>
      </c>
      <c r="D185" s="34" t="n">
        <f aca="false">D182-D183-D184</f>
        <v>200972.544861916</v>
      </c>
      <c r="E185" s="34" t="n">
        <f aca="false">E182-E183-E184</f>
        <v>44454.7338028976</v>
      </c>
      <c r="F185" s="34" t="n">
        <f aca="false">F182-F183-F184</f>
        <v>-87125.0830916164</v>
      </c>
      <c r="G185" s="34" t="n">
        <f aca="false">G182-G183-G184</f>
        <v>-170760.271830708</v>
      </c>
      <c r="H185" s="34" t="n">
        <f aca="false">SUM(C185:G185)</f>
        <v>496418.043055488</v>
      </c>
    </row>
    <row r="186" customFormat="false" ht="15" hidden="false" customHeight="false" outlineLevel="0" collapsed="false">
      <c r="A186" s="9" t="s">
        <v>241</v>
      </c>
      <c r="C186" s="21" t="n">
        <f aca="false">(C182-(C183+C184))/(C183+C184)</f>
        <v>0.647185058595983</v>
      </c>
      <c r="D186" s="21" t="n">
        <f aca="false">(D182-(D183+D184))/(D183+D184)</f>
        <v>0.318343268059802</v>
      </c>
      <c r="E186" s="21" t="n">
        <f aca="false">(E182-(E183+E184))/(E183+E184)</f>
        <v>0.0910197193156875</v>
      </c>
      <c r="F186" s="21" t="n">
        <f aca="false">(F182-(F183+F184))/(F183+F184)</f>
        <v>-0.258342216865918</v>
      </c>
      <c r="G186" s="21" t="n">
        <f aca="false">(G182-(G183+G184))/(G183+G184)</f>
        <v>-0.714967154978999</v>
      </c>
      <c r="H186" s="36" t="n">
        <f aca="false">($H$182-($H$183+$H$184))/($H$183+$H$184)</f>
        <v>0.2</v>
      </c>
    </row>
    <row r="187" customFormat="false" ht="15" hidden="false" customHeight="false" outlineLevel="0" collapsed="false">
      <c r="A187" s="9" t="s">
        <v>177</v>
      </c>
      <c r="C187" s="45" t="str">
        <f aca="false">'Title Inputs'!$C$38</f>
        <v>High</v>
      </c>
      <c r="D187" s="45" t="str">
        <f aca="false">'Title Inputs'!$D$38</f>
        <v>High</v>
      </c>
      <c r="E187" s="45" t="str">
        <f aca="false">'Title Inputs'!$E$38</f>
        <v>Medium</v>
      </c>
      <c r="F187" s="45" t="str">
        <f aca="false">'Title Inputs'!$F$38</f>
        <v>Medium</v>
      </c>
      <c r="G187" s="45" t="str">
        <f aca="false">'Title Inputs'!$G$38</f>
        <v>Low</v>
      </c>
    </row>
    <row r="188" customFormat="false" ht="15" hidden="false" customHeight="false" outlineLevel="0" collapsed="false">
      <c r="A188" s="9" t="s">
        <v>181</v>
      </c>
      <c r="C188" s="45" t="str">
        <f aca="false">'Title Inputs'!$C$39</f>
        <v>Low</v>
      </c>
      <c r="D188" s="45" t="str">
        <f aca="false">'Title Inputs'!$D$39</f>
        <v>Low</v>
      </c>
      <c r="E188" s="45" t="str">
        <f aca="false">'Title Inputs'!$E$39</f>
        <v>Medium</v>
      </c>
      <c r="F188" s="45" t="str">
        <f aca="false">'Title Inputs'!$F$39</f>
        <v>Medium</v>
      </c>
      <c r="G188" s="45" t="str">
        <f aca="false">'Title Inputs'!$G$39</f>
        <v>High</v>
      </c>
    </row>
    <row r="189" customFormat="false" ht="15" hidden="false" customHeight="false" outlineLevel="0" collapsed="false">
      <c r="A189" s="9" t="s">
        <v>182</v>
      </c>
      <c r="C189" s="45" t="str">
        <f aca="false">'Title Inputs'!$C$40</f>
        <v>Anchor</v>
      </c>
      <c r="D189" s="45" t="str">
        <f aca="false">'Title Inputs'!$D$40</f>
        <v>Anchor</v>
      </c>
      <c r="E189" s="45" t="str">
        <f aca="false">'Title Inputs'!$E$40</f>
        <v>Supporting</v>
      </c>
      <c r="F189" s="45" t="str">
        <f aca="false">'Title Inputs'!$F$40</f>
        <v>Filler</v>
      </c>
      <c r="G189" s="45" t="str">
        <f aca="false">'Title Inputs'!$G$40</f>
        <v>Dilutive</v>
      </c>
    </row>
    <row r="190" customFormat="false" ht="15" hidden="false" customHeight="false" outlineLevel="0" collapsed="false">
      <c r="A190" s="9" t="s">
        <v>242</v>
      </c>
      <c r="C190" s="41" t="n">
        <f aca="false">'Title Economics'!$D$14</f>
        <v>824139.702412824</v>
      </c>
      <c r="D190" s="41" t="n">
        <f aca="false">'Title Economics'!$D$21</f>
        <v>480701.993924958</v>
      </c>
      <c r="E190" s="41" t="n">
        <f aca="false">'Title Economics'!$D$28</f>
        <v>270984.818478065</v>
      </c>
      <c r="F190" s="41" t="n">
        <f aca="false">'Title Economics'!$D$35</f>
        <v>69881.156500021</v>
      </c>
      <c r="G190" s="41" t="n">
        <f aca="false">'Title Economics'!$D$42</f>
        <v>-51885.4006445543</v>
      </c>
      <c r="H190" s="34" t="n">
        <f aca="false">SUM(C190:G190)</f>
        <v>1593822.27067131</v>
      </c>
    </row>
    <row r="191" customFormat="false" ht="15" hidden="false" customHeight="false" outlineLevel="0" collapsed="false">
      <c r="A191" s="9" t="s">
        <v>243</v>
      </c>
      <c r="C191" s="41" t="n">
        <f aca="false">C190-C180</f>
        <v>344614.372538689</v>
      </c>
      <c r="D191" s="41" t="n">
        <f aca="false">D190-D180</f>
        <v>91087.6634022238</v>
      </c>
      <c r="E191" s="41" t="n">
        <f aca="false">E190-E180</f>
        <v>-28718.5126932693</v>
      </c>
      <c r="F191" s="41" t="n">
        <f aca="false">F190-F180</f>
        <v>-124926.008761346</v>
      </c>
      <c r="G191" s="41" t="n">
        <f aca="false">G190-G180</f>
        <v>-186751.899671655</v>
      </c>
      <c r="H191" s="34" t="n">
        <f aca="false">SUM(C191:G191)</f>
        <v>95305.6148146429</v>
      </c>
    </row>
    <row r="192" customFormat="false" ht="15" hidden="false" customHeight="false" outlineLevel="0" collapsed="false">
      <c r="A192" s="9" t="s">
        <v>244</v>
      </c>
      <c r="C192" s="45" t="str">
        <f aca="false">IF(C181&lt;0,"Subsidised by other titles","Self-supporting")</f>
        <v>Self-supporting</v>
      </c>
      <c r="D192" s="45" t="str">
        <f aca="false">IF(D181&lt;0,"Subsidised by other titles","Self-supporting")</f>
        <v>Self-supporting</v>
      </c>
      <c r="E192" s="45" t="str">
        <f aca="false">IF(E181&lt;0,"Subsidised by other titles","Self-supporting")</f>
        <v>Self-supporting</v>
      </c>
      <c r="F192" s="45" t="str">
        <f aca="false">IF(F181&lt;0,"Subsidised by other titles","Self-supporting")</f>
        <v>Subsidised by other titles</v>
      </c>
      <c r="G192" s="45" t="str">
        <f aca="false">IF(G181&lt;0,"Subsidised by other titles","Self-supporting")</f>
        <v>Subsidised by other titles</v>
      </c>
    </row>
    <row r="194" customFormat="false" ht="15" hidden="false" customHeight="false" outlineLevel="0" collapsed="false">
      <c r="A194" s="14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34"/>
    <col collapsed="false" customWidth="true" hidden="false" outlineLevel="0" max="28" min="5" style="0" width="12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246</v>
      </c>
    </row>
    <row r="3" customFormat="false" ht="15" hidden="false" customHeight="false" outlineLevel="0" collapsed="false">
      <c r="A3" s="14" t="s">
        <v>3</v>
      </c>
    </row>
    <row r="4" customFormat="false" ht="15" hidden="false" customHeight="false" outlineLevel="0" collapsed="false">
      <c r="A4" s="23" t="s">
        <v>189</v>
      </c>
      <c r="B4" s="23" t="s">
        <v>247</v>
      </c>
      <c r="C4" s="23" t="s">
        <v>191</v>
      </c>
      <c r="D4" s="24" t="s">
        <v>192</v>
      </c>
      <c r="E4" s="37" t="n">
        <v>1</v>
      </c>
      <c r="F4" s="37" t="n">
        <v>2</v>
      </c>
      <c r="G4" s="37" t="n">
        <v>3</v>
      </c>
      <c r="H4" s="37" t="n">
        <v>4</v>
      </c>
      <c r="I4" s="37" t="n">
        <v>5</v>
      </c>
      <c r="J4" s="37" t="n">
        <v>6</v>
      </c>
      <c r="K4" s="37" t="n">
        <v>7</v>
      </c>
      <c r="L4" s="37" t="n">
        <v>8</v>
      </c>
      <c r="M4" s="37" t="n">
        <v>9</v>
      </c>
      <c r="N4" s="37" t="n">
        <v>10</v>
      </c>
      <c r="O4" s="37" t="n">
        <v>11</v>
      </c>
      <c r="P4" s="37" t="n">
        <v>12</v>
      </c>
      <c r="Q4" s="37" t="n">
        <v>13</v>
      </c>
      <c r="R4" s="37" t="n">
        <v>14</v>
      </c>
      <c r="S4" s="37" t="n">
        <v>15</v>
      </c>
      <c r="T4" s="37" t="n">
        <v>16</v>
      </c>
      <c r="U4" s="37" t="n">
        <v>17</v>
      </c>
      <c r="V4" s="37" t="n">
        <v>18</v>
      </c>
      <c r="W4" s="37" t="n">
        <v>19</v>
      </c>
      <c r="X4" s="37" t="n">
        <v>20</v>
      </c>
      <c r="Y4" s="37" t="n">
        <v>21</v>
      </c>
      <c r="Z4" s="37" t="n">
        <v>22</v>
      </c>
      <c r="AA4" s="37" t="n">
        <v>23</v>
      </c>
      <c r="AB4" s="37" t="n">
        <v>24</v>
      </c>
    </row>
    <row r="6" customFormat="false" ht="15" hidden="false" customHeight="false" outlineLevel="0" collapsed="false">
      <c r="C6" s="8" t="s">
        <v>248</v>
      </c>
      <c r="D6" s="46" t="n">
        <f aca="false">Scenarios!$C$66</f>
        <v>1498516.65585667</v>
      </c>
      <c r="F6" s="14" t="s">
        <v>249</v>
      </c>
    </row>
    <row r="8" customFormat="false" ht="15" hidden="false" customHeight="false" outlineLevel="0" collapsed="false">
      <c r="A8" s="38" t="s">
        <v>193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customFormat="false" ht="15" hidden="false" customHeight="false" outlineLevel="0" collapsed="false">
      <c r="A9" s="14" t="s">
        <v>194</v>
      </c>
      <c r="B9" s="8" t="s">
        <v>250</v>
      </c>
      <c r="C9" s="8" t="s">
        <v>251</v>
      </c>
      <c r="D9" s="34" t="n">
        <f aca="false">SUM(E9:AB9)</f>
        <v>1498516.65585667</v>
      </c>
      <c r="E9" s="41" t="n">
        <f aca="false">IF(E$4=Assumptions!$C$31,'Deal Structures'!$D$6*Assumptions!$C$30,0)+IF(E$4=Assumptions!$C$33,'Deal Structures'!$D$6*Assumptions!$C$32,0)</f>
        <v>749258.327928335</v>
      </c>
      <c r="F9" s="41" t="n">
        <f aca="false">IF(F$4=Assumptions!$C$31,'Deal Structures'!$D$6*Assumptions!$C$30,0)+IF(F$4=Assumptions!$C$33,'Deal Structures'!$D$6*Assumptions!$C$32,0)</f>
        <v>0</v>
      </c>
      <c r="G9" s="41" t="n">
        <f aca="false">IF(G$4=Assumptions!$C$31,'Deal Structures'!$D$6*Assumptions!$C$30,0)+IF(G$4=Assumptions!$C$33,'Deal Structures'!$D$6*Assumptions!$C$32,0)</f>
        <v>0</v>
      </c>
      <c r="H9" s="41" t="n">
        <f aca="false">IF(H$4=Assumptions!$C$31,'Deal Structures'!$D$6*Assumptions!$C$30,0)+IF(H$4=Assumptions!$C$33,'Deal Structures'!$D$6*Assumptions!$C$32,0)</f>
        <v>0</v>
      </c>
      <c r="I9" s="41" t="n">
        <f aca="false">IF(I$4=Assumptions!$C$31,'Deal Structures'!$D$6*Assumptions!$C$30,0)+IF(I$4=Assumptions!$C$33,'Deal Structures'!$D$6*Assumptions!$C$32,0)</f>
        <v>0</v>
      </c>
      <c r="J9" s="41" t="n">
        <f aca="false">IF(J$4=Assumptions!$C$31,'Deal Structures'!$D$6*Assumptions!$C$30,0)+IF(J$4=Assumptions!$C$33,'Deal Structures'!$D$6*Assumptions!$C$32,0)</f>
        <v>0</v>
      </c>
      <c r="K9" s="41" t="n">
        <f aca="false">IF(K$4=Assumptions!$C$31,'Deal Structures'!$D$6*Assumptions!$C$30,0)+IF(K$4=Assumptions!$C$33,'Deal Structures'!$D$6*Assumptions!$C$32,0)</f>
        <v>749258.327928335</v>
      </c>
      <c r="L9" s="41" t="n">
        <f aca="false">IF(L$4=Assumptions!$C$31,'Deal Structures'!$D$6*Assumptions!$C$30,0)+IF(L$4=Assumptions!$C$33,'Deal Structures'!$D$6*Assumptions!$C$32,0)</f>
        <v>0</v>
      </c>
      <c r="M9" s="41" t="n">
        <f aca="false">IF(M$4=Assumptions!$C$31,'Deal Structures'!$D$6*Assumptions!$C$30,0)+IF(M$4=Assumptions!$C$33,'Deal Structures'!$D$6*Assumptions!$C$32,0)</f>
        <v>0</v>
      </c>
      <c r="N9" s="41" t="n">
        <f aca="false">IF(N$4=Assumptions!$C$31,'Deal Structures'!$D$6*Assumptions!$C$30,0)+IF(N$4=Assumptions!$C$33,'Deal Structures'!$D$6*Assumptions!$C$32,0)</f>
        <v>0</v>
      </c>
      <c r="O9" s="41" t="n">
        <f aca="false">IF(O$4=Assumptions!$C$31,'Deal Structures'!$D$6*Assumptions!$C$30,0)+IF(O$4=Assumptions!$C$33,'Deal Structures'!$D$6*Assumptions!$C$32,0)</f>
        <v>0</v>
      </c>
      <c r="P9" s="41" t="n">
        <f aca="false">IF(P$4=Assumptions!$C$31,'Deal Structures'!$D$6*Assumptions!$C$30,0)+IF(P$4=Assumptions!$C$33,'Deal Structures'!$D$6*Assumptions!$C$32,0)</f>
        <v>0</v>
      </c>
      <c r="Q9" s="41" t="n">
        <f aca="false">IF(Q$4=Assumptions!$C$31,'Deal Structures'!$D$6*Assumptions!$C$30,0)+IF(Q$4=Assumptions!$C$33,'Deal Structures'!$D$6*Assumptions!$C$32,0)</f>
        <v>0</v>
      </c>
      <c r="R9" s="41" t="n">
        <f aca="false">IF(R$4=Assumptions!$C$31,'Deal Structures'!$D$6*Assumptions!$C$30,0)+IF(R$4=Assumptions!$C$33,'Deal Structures'!$D$6*Assumptions!$C$32,0)</f>
        <v>0</v>
      </c>
      <c r="S9" s="41" t="n">
        <f aca="false">IF(S$4=Assumptions!$C$31,'Deal Structures'!$D$6*Assumptions!$C$30,0)+IF(S$4=Assumptions!$C$33,'Deal Structures'!$D$6*Assumptions!$C$32,0)</f>
        <v>0</v>
      </c>
      <c r="T9" s="41" t="n">
        <f aca="false">IF(T$4=Assumptions!$C$31,'Deal Structures'!$D$6*Assumptions!$C$30,0)+IF(T$4=Assumptions!$C$33,'Deal Structures'!$D$6*Assumptions!$C$32,0)</f>
        <v>0</v>
      </c>
      <c r="U9" s="41" t="n">
        <f aca="false">IF(U$4=Assumptions!$C$31,'Deal Structures'!$D$6*Assumptions!$C$30,0)+IF(U$4=Assumptions!$C$33,'Deal Structures'!$D$6*Assumptions!$C$32,0)</f>
        <v>0</v>
      </c>
      <c r="V9" s="41" t="n">
        <f aca="false">IF(V$4=Assumptions!$C$31,'Deal Structures'!$D$6*Assumptions!$C$30,0)+IF(V$4=Assumptions!$C$33,'Deal Structures'!$D$6*Assumptions!$C$32,0)</f>
        <v>0</v>
      </c>
      <c r="W9" s="41" t="n">
        <f aca="false">IF(W$4=Assumptions!$C$31,'Deal Structures'!$D$6*Assumptions!$C$30,0)+IF(W$4=Assumptions!$C$33,'Deal Structures'!$D$6*Assumptions!$C$32,0)</f>
        <v>0</v>
      </c>
      <c r="X9" s="41" t="n">
        <f aca="false">IF(X$4=Assumptions!$C$31,'Deal Structures'!$D$6*Assumptions!$C$30,0)+IF(X$4=Assumptions!$C$33,'Deal Structures'!$D$6*Assumptions!$C$32,0)</f>
        <v>0</v>
      </c>
      <c r="Y9" s="41" t="n">
        <f aca="false">IF(Y$4=Assumptions!$C$31,'Deal Structures'!$D$6*Assumptions!$C$30,0)+IF(Y$4=Assumptions!$C$33,'Deal Structures'!$D$6*Assumptions!$C$32,0)</f>
        <v>0</v>
      </c>
      <c r="Z9" s="41" t="n">
        <f aca="false">IF(Z$4=Assumptions!$C$31,'Deal Structures'!$D$6*Assumptions!$C$30,0)+IF(Z$4=Assumptions!$C$33,'Deal Structures'!$D$6*Assumptions!$C$32,0)</f>
        <v>0</v>
      </c>
      <c r="AA9" s="41" t="n">
        <f aca="false">IF(AA$4=Assumptions!$C$31,'Deal Structures'!$D$6*Assumptions!$C$30,0)+IF(AA$4=Assumptions!$C$33,'Deal Structures'!$D$6*Assumptions!$C$32,0)</f>
        <v>0</v>
      </c>
      <c r="AB9" s="41" t="n">
        <f aca="false">IF(AB$4=Assumptions!$C$31,'Deal Structures'!$D$6*Assumptions!$C$30,0)+IF(AB$4=Assumptions!$C$33,'Deal Structures'!$D$6*Assumptions!$C$32,0)</f>
        <v>0</v>
      </c>
    </row>
    <row r="10" customFormat="false" ht="15" hidden="false" customHeight="false" outlineLevel="0" collapsed="false">
      <c r="A10" s="14"/>
      <c r="B10" s="8"/>
      <c r="C10" s="9" t="s">
        <v>252</v>
      </c>
      <c r="D10" s="34" t="n">
        <f aca="false">SUM(E10:AB10)</f>
        <v>95305.6148146427</v>
      </c>
      <c r="E10" s="41" t="n">
        <f aca="false">'Title Economics'!E51-E9</f>
        <v>-972149.259859632</v>
      </c>
      <c r="F10" s="41" t="n">
        <f aca="false">'Title Economics'!F51-F9</f>
        <v>140881.669960115</v>
      </c>
      <c r="G10" s="41" t="n">
        <f aca="false">'Title Economics'!G51-G9</f>
        <v>176369.970527371</v>
      </c>
      <c r="H10" s="41" t="n">
        <f aca="false">'Title Economics'!H51-H9</f>
        <v>166962.216848481</v>
      </c>
      <c r="I10" s="41" t="n">
        <f aca="false">'Title Economics'!I51-I9</f>
        <v>183702.97839702</v>
      </c>
      <c r="J10" s="41" t="n">
        <f aca="false">'Title Economics'!J51-J9</f>
        <v>159905.708933384</v>
      </c>
      <c r="K10" s="41" t="n">
        <f aca="false">'Title Economics'!K51-K9</f>
        <v>-610053.860576767</v>
      </c>
      <c r="L10" s="41" t="n">
        <f aca="false">'Title Economics'!L51-L9</f>
        <v>121194.57479174</v>
      </c>
      <c r="M10" s="41" t="n">
        <f aca="false">'Title Economics'!M51-M9</f>
        <v>105524.515423466</v>
      </c>
      <c r="N10" s="41" t="n">
        <f aca="false">'Title Economics'!N51-N9</f>
        <v>91888.9143034885</v>
      </c>
      <c r="O10" s="41" t="n">
        <f aca="false">'Title Economics'!O51-O9</f>
        <v>80022.4481767087</v>
      </c>
      <c r="P10" s="41" t="n">
        <f aca="false">'Title Economics'!P51-P9</f>
        <v>69694.5645035816</v>
      </c>
      <c r="Q10" s="41" t="n">
        <f aca="false">'Title Economics'!Q51-Q9</f>
        <v>60704.9007784091</v>
      </c>
      <c r="R10" s="41" t="n">
        <f aca="false">'Title Economics'!R51-R9</f>
        <v>52879.3107109078</v>
      </c>
      <c r="S10" s="41" t="n">
        <f aca="false">'Title Economics'!S51-S9</f>
        <v>46066.4163879828</v>
      </c>
      <c r="T10" s="41" t="n">
        <f aca="false">'Title Economics'!T51-T9</f>
        <v>40134.6163814808</v>
      </c>
      <c r="U10" s="41" t="n">
        <f aca="false">'Title Economics'!U51-U9</f>
        <v>34969.4891516392</v>
      </c>
      <c r="V10" s="41" t="n">
        <f aca="false">'Title Economics'!V51-V9</f>
        <v>30471.5392141732</v>
      </c>
      <c r="W10" s="41" t="n">
        <f aca="false">'Title Economics'!W51-W9</f>
        <v>26554.2405633617</v>
      </c>
      <c r="X10" s="41" t="n">
        <f aca="false">'Title Economics'!X51-X9</f>
        <v>23142.3379224842</v>
      </c>
      <c r="Y10" s="41" t="n">
        <f aca="false">'Title Economics'!Y51-Y9</f>
        <v>20170.3716546514</v>
      </c>
      <c r="Z10" s="41" t="n">
        <f aca="false">'Title Economics'!Z51-Z9</f>
        <v>17581.3967220816</v>
      </c>
      <c r="AA10" s="41" t="n">
        <f aca="false">'Title Economics'!AA51-AA9</f>
        <v>15325.870025764</v>
      </c>
      <c r="AB10" s="41" t="n">
        <f aca="false">'Title Economics'!AB51-AB9</f>
        <v>13360.6838727507</v>
      </c>
    </row>
    <row r="11" customFormat="false" ht="15" hidden="false" customHeight="false" outlineLevel="0" collapsed="false">
      <c r="A11" s="14"/>
      <c r="B11" s="8"/>
      <c r="C11" s="9" t="s">
        <v>253</v>
      </c>
      <c r="D11" s="34" t="n">
        <f aca="false">SUM(E11:AB11)</f>
        <v>-6742743.16913944</v>
      </c>
      <c r="E11" s="41" t="n">
        <f aca="false">SUM($E$10:E10)</f>
        <v>-972149.259859632</v>
      </c>
      <c r="F11" s="41" t="n">
        <f aca="false">SUM($E$10:F10)</f>
        <v>-831267.589899518</v>
      </c>
      <c r="G11" s="41" t="n">
        <f aca="false">SUM($E$10:G10)</f>
        <v>-654897.619372146</v>
      </c>
      <c r="H11" s="41" t="n">
        <f aca="false">SUM($E$10:H10)</f>
        <v>-487935.402523666</v>
      </c>
      <c r="I11" s="41" t="n">
        <f aca="false">SUM($E$10:I10)</f>
        <v>-304232.424126646</v>
      </c>
      <c r="J11" s="41" t="n">
        <f aca="false">SUM($E$10:J10)</f>
        <v>-144326.715193262</v>
      </c>
      <c r="K11" s="41" t="n">
        <f aca="false">SUM($E$10:K10)</f>
        <v>-754380.575770029</v>
      </c>
      <c r="L11" s="41" t="n">
        <f aca="false">SUM($E$10:L10)</f>
        <v>-633186.000978289</v>
      </c>
      <c r="M11" s="41" t="n">
        <f aca="false">SUM($E$10:M10)</f>
        <v>-527661.485554823</v>
      </c>
      <c r="N11" s="41" t="n">
        <f aca="false">SUM($E$10:N10)</f>
        <v>-435772.571251334</v>
      </c>
      <c r="O11" s="41" t="n">
        <f aca="false">SUM($E$10:O10)</f>
        <v>-355750.123074626</v>
      </c>
      <c r="P11" s="41" t="n">
        <f aca="false">SUM($E$10:P10)</f>
        <v>-286055.558571044</v>
      </c>
      <c r="Q11" s="41" t="n">
        <f aca="false">SUM($E$10:Q10)</f>
        <v>-225350.657792635</v>
      </c>
      <c r="R11" s="41" t="n">
        <f aca="false">SUM($E$10:R10)</f>
        <v>-172471.347081727</v>
      </c>
      <c r="S11" s="41" t="n">
        <f aca="false">SUM($E$10:S10)</f>
        <v>-126404.930693744</v>
      </c>
      <c r="T11" s="41" t="n">
        <f aca="false">SUM($E$10:T10)</f>
        <v>-86270.3143122632</v>
      </c>
      <c r="U11" s="41" t="n">
        <f aca="false">SUM($E$10:U10)</f>
        <v>-51300.825160624</v>
      </c>
      <c r="V11" s="41" t="n">
        <f aca="false">SUM($E$10:V10)</f>
        <v>-20829.2859464507</v>
      </c>
      <c r="W11" s="41" t="n">
        <f aca="false">SUM($E$10:W10)</f>
        <v>5724.95461691095</v>
      </c>
      <c r="X11" s="41" t="n">
        <f aca="false">SUM($E$10:X10)</f>
        <v>28867.2925393951</v>
      </c>
      <c r="Y11" s="41" t="n">
        <f aca="false">SUM($E$10:Y10)</f>
        <v>49037.6641940465</v>
      </c>
      <c r="Z11" s="41" t="n">
        <f aca="false">SUM($E$10:Z10)</f>
        <v>66619.060916128</v>
      </c>
      <c r="AA11" s="41" t="n">
        <f aca="false">SUM($E$10:AA10)</f>
        <v>81944.930941892</v>
      </c>
      <c r="AB11" s="41" t="n">
        <f aca="false">SUM($E$10:AB10)</f>
        <v>95305.6148146427</v>
      </c>
    </row>
    <row r="12" customFormat="false" ht="15" hidden="false" customHeight="false" outlineLevel="0" collapsed="false">
      <c r="A12" s="14"/>
      <c r="B12" s="8"/>
      <c r="C12" s="9" t="s">
        <v>254</v>
      </c>
      <c r="D12" s="27" t="n">
        <f aca="false">IFERROR(MATCH(1,E12:AB12,0),"n/a")</f>
        <v>19</v>
      </c>
      <c r="E12" s="40" t="n">
        <f aca="false">IF(MIN(E11:$AB$11)&gt;0,1,0)</f>
        <v>0</v>
      </c>
      <c r="F12" s="40" t="n">
        <f aca="false">IF(MIN(F11:$AB$11)&gt;0,1,0)</f>
        <v>0</v>
      </c>
      <c r="G12" s="40" t="n">
        <f aca="false">IF(MIN(G11:$AB$11)&gt;0,1,0)</f>
        <v>0</v>
      </c>
      <c r="H12" s="40" t="n">
        <f aca="false">IF(MIN(H11:$AB$11)&gt;0,1,0)</f>
        <v>0</v>
      </c>
      <c r="I12" s="40" t="n">
        <f aca="false">IF(MIN(I11:$AB$11)&gt;0,1,0)</f>
        <v>0</v>
      </c>
      <c r="J12" s="40" t="n">
        <f aca="false">IF(MIN(J11:$AB$11)&gt;0,1,0)</f>
        <v>0</v>
      </c>
      <c r="K12" s="40" t="n">
        <f aca="false">IF(MIN(K11:$AB$11)&gt;0,1,0)</f>
        <v>0</v>
      </c>
      <c r="L12" s="40" t="n">
        <f aca="false">IF(MIN(L11:$AB$11)&gt;0,1,0)</f>
        <v>0</v>
      </c>
      <c r="M12" s="40" t="n">
        <f aca="false">IF(MIN(M11:$AB$11)&gt;0,1,0)</f>
        <v>0</v>
      </c>
      <c r="N12" s="40" t="n">
        <f aca="false">IF(MIN(N11:$AB$11)&gt;0,1,0)</f>
        <v>0</v>
      </c>
      <c r="O12" s="40" t="n">
        <f aca="false">IF(MIN(O11:$AB$11)&gt;0,1,0)</f>
        <v>0</v>
      </c>
      <c r="P12" s="40" t="n">
        <f aca="false">IF(MIN(P11:$AB$11)&gt;0,1,0)</f>
        <v>0</v>
      </c>
      <c r="Q12" s="40" t="n">
        <f aca="false">IF(MIN(Q11:$AB$11)&gt;0,1,0)</f>
        <v>0</v>
      </c>
      <c r="R12" s="40" t="n">
        <f aca="false">IF(MIN(R11:$AB$11)&gt;0,1,0)</f>
        <v>0</v>
      </c>
      <c r="S12" s="40" t="n">
        <f aca="false">IF(MIN(S11:$AB$11)&gt;0,1,0)</f>
        <v>0</v>
      </c>
      <c r="T12" s="40" t="n">
        <f aca="false">IF(MIN(T11:$AB$11)&gt;0,1,0)</f>
        <v>0</v>
      </c>
      <c r="U12" s="40" t="n">
        <f aca="false">IF(MIN(U11:$AB$11)&gt;0,1,0)</f>
        <v>0</v>
      </c>
      <c r="V12" s="40" t="n">
        <f aca="false">IF(MIN(V11:$AB$11)&gt;0,1,0)</f>
        <v>0</v>
      </c>
      <c r="W12" s="40" t="n">
        <f aca="false">IF(MIN(W11:$AB$11)&gt;0,1,0)</f>
        <v>1</v>
      </c>
      <c r="X12" s="40" t="n">
        <f aca="false">IF(MIN(X11:$AB$11)&gt;0,1,0)</f>
        <v>1</v>
      </c>
      <c r="Y12" s="40" t="n">
        <f aca="false">IF(MIN(Y11:$AB$11)&gt;0,1,0)</f>
        <v>1</v>
      </c>
      <c r="Z12" s="40" t="n">
        <f aca="false">IF(MIN(Z11:$AB$11)&gt;0,1,0)</f>
        <v>1</v>
      </c>
      <c r="AA12" s="40" t="n">
        <f aca="false">IF(MIN(AA11:$AB$11)&gt;0,1,0)</f>
        <v>1</v>
      </c>
      <c r="AB12" s="40" t="n">
        <f aca="false">IF(MIN(AB11:$AB$11)&gt;0,1,0)</f>
        <v>1</v>
      </c>
    </row>
    <row r="14" customFormat="false" ht="15" hidden="false" customHeight="false" outlineLevel="0" collapsed="false">
      <c r="A14" s="14" t="s">
        <v>194</v>
      </c>
      <c r="B14" s="8" t="s">
        <v>255</v>
      </c>
      <c r="C14" s="9" t="s">
        <v>256</v>
      </c>
      <c r="D14" s="34" t="n">
        <f aca="false">SUM(E14:AB14)</f>
        <v>1156795.9774379</v>
      </c>
      <c r="E14" s="41" t="n">
        <f aca="false">'Monthly Viewing Forecast'!E40*Assumptions!$C$38</f>
        <v>156353.185839724</v>
      </c>
      <c r="F14" s="41" t="n">
        <f aca="false">'Monthly Viewing Forecast'!F40*Assumptions!$C$38</f>
        <v>135882.099449317</v>
      </c>
      <c r="G14" s="41" t="n">
        <f aca="false">'Monthly Viewing Forecast'!G40*Assumptions!$C$38</f>
        <v>118105.506152662</v>
      </c>
      <c r="H14" s="41" t="n">
        <f aca="false">'Monthly Viewing Forecast'!H40*Assumptions!$C$38</f>
        <v>102666.716100655</v>
      </c>
      <c r="I14" s="41" t="n">
        <f aca="false">'Monthly Viewing Forecast'!I40*Assumptions!$C$38</f>
        <v>89256.5460057136</v>
      </c>
      <c r="J14" s="41" t="n">
        <f aca="false">'Monthly Viewing Forecast'!J40*Assumptions!$C$38</f>
        <v>77606.9507669271</v>
      </c>
      <c r="K14" s="41" t="n">
        <f aca="false">'Monthly Viewing Forecast'!K40*Assumptions!$C$38</f>
        <v>67485.5146326932</v>
      </c>
      <c r="L14" s="41" t="n">
        <f aca="false">'Monthly Viewing Forecast'!L40*Assumptions!$C$38</f>
        <v>58690.6850607785</v>
      </c>
      <c r="M14" s="41" t="n">
        <f aca="false">'Monthly Viewing Forecast'!M40*Assumptions!$C$38</f>
        <v>51047.6484355241</v>
      </c>
      <c r="N14" s="41" t="n">
        <f aca="false">'Monthly Viewing Forecast'!N40*Assumptions!$C$38</f>
        <v>44404.7605941901</v>
      </c>
      <c r="O14" s="41" t="n">
        <f aca="false">'Monthly Viewing Forecast'!O40*Assumptions!$C$38</f>
        <v>38630.4570060603</v>
      </c>
      <c r="P14" s="41" t="n">
        <f aca="false">'Monthly Viewing Forecast'!P40*Assumptions!$C$38</f>
        <v>33610.577702853</v>
      </c>
      <c r="Q14" s="41" t="n">
        <f aca="false">'Monthly Viewing Forecast'!Q40*Assumptions!$C$38</f>
        <v>29246.0509041798</v>
      </c>
      <c r="R14" s="41" t="n">
        <f aca="false">'Monthly Viewing Forecast'!R40*Assumptions!$C$38</f>
        <v>25450.886912541</v>
      </c>
      <c r="S14" s="41" t="n">
        <f aca="false">'Monthly Viewing Forecast'!S40*Assumptions!$C$38</f>
        <v>22150.4404366481</v>
      </c>
      <c r="T14" s="41" t="n">
        <f aca="false">'Monthly Viewing Forecast'!T40*Assumptions!$C$38</f>
        <v>19279.9051843113</v>
      </c>
      <c r="U14" s="41" t="n">
        <f aca="false">'Monthly Viewing Forecast'!U40*Assumptions!$C$38</f>
        <v>16783.0094711871</v>
      </c>
      <c r="V14" s="41" t="n">
        <f aca="false">'Monthly Viewing Forecast'!V40*Assumptions!$C$38</f>
        <v>14610.8858264957</v>
      </c>
      <c r="W14" s="41" t="n">
        <f aca="false">'Monthly Viewing Forecast'!W40*Assumptions!$C$38</f>
        <v>12721.0912336577</v>
      </c>
      <c r="X14" s="41" t="n">
        <f aca="false">'Monthly Viewing Forecast'!X40*Assumptions!$C$38</f>
        <v>11076.7578021457</v>
      </c>
      <c r="Y14" s="41" t="n">
        <f aca="false">'Monthly Viewing Forecast'!Y40*Assumptions!$C$38</f>
        <v>9645.85639514315</v>
      </c>
      <c r="Z14" s="41" t="n">
        <f aca="false">'Monthly Viewing Forecast'!Z40*Assumptions!$C$38</f>
        <v>8400.55809485237</v>
      </c>
      <c r="AA14" s="41" t="n">
        <f aca="false">'Monthly Viewing Forecast'!AA40*Assumptions!$C$38</f>
        <v>7316.68042432557</v>
      </c>
      <c r="AB14" s="41" t="n">
        <f aca="false">'Monthly Viewing Forecast'!AB40*Assumptions!$C$38</f>
        <v>6373.2070053202</v>
      </c>
    </row>
    <row r="15" customFormat="false" ht="15" hidden="false" customHeight="false" outlineLevel="0" collapsed="false">
      <c r="A15" s="14"/>
      <c r="B15" s="8"/>
      <c r="C15" s="9" t="s">
        <v>257</v>
      </c>
      <c r="D15" s="34" t="n">
        <f aca="false">AB15</f>
        <v>1156795.9774379</v>
      </c>
      <c r="E15" s="41" t="n">
        <f aca="false">SUM($E$14:E14)</f>
        <v>156353.185839724</v>
      </c>
      <c r="F15" s="41" t="n">
        <f aca="false">SUM($E$14:F14)</f>
        <v>292235.28528904</v>
      </c>
      <c r="G15" s="41" t="n">
        <f aca="false">SUM($E$14:G14)</f>
        <v>410340.791441702</v>
      </c>
      <c r="H15" s="41" t="n">
        <f aca="false">SUM($E$14:H14)</f>
        <v>513007.507542357</v>
      </c>
      <c r="I15" s="41" t="n">
        <f aca="false">SUM($E$14:I14)</f>
        <v>602264.05354807</v>
      </c>
      <c r="J15" s="41" t="n">
        <f aca="false">SUM($E$14:J14)</f>
        <v>679871.004314998</v>
      </c>
      <c r="K15" s="41" t="n">
        <f aca="false">SUM($E$14:K14)</f>
        <v>747356.518947691</v>
      </c>
      <c r="L15" s="41" t="n">
        <f aca="false">SUM($E$14:L14)</f>
        <v>806047.204008469</v>
      </c>
      <c r="M15" s="41" t="n">
        <f aca="false">SUM($E$14:M14)</f>
        <v>857094.852443993</v>
      </c>
      <c r="N15" s="41" t="n">
        <f aca="false">SUM($E$14:N14)</f>
        <v>901499.613038183</v>
      </c>
      <c r="O15" s="41" t="n">
        <f aca="false">SUM($E$14:O14)</f>
        <v>940130.070044244</v>
      </c>
      <c r="P15" s="41" t="n">
        <f aca="false">SUM($E$14:P14)</f>
        <v>973740.647747097</v>
      </c>
      <c r="Q15" s="41" t="n">
        <f aca="false">SUM($E$14:Q14)</f>
        <v>1002986.69865128</v>
      </c>
      <c r="R15" s="41" t="n">
        <f aca="false">SUM($E$14:R14)</f>
        <v>1028437.58556382</v>
      </c>
      <c r="S15" s="41" t="n">
        <f aca="false">SUM($E$14:S14)</f>
        <v>1050588.02600047</v>
      </c>
      <c r="T15" s="41" t="n">
        <f aca="false">SUM($E$14:T14)</f>
        <v>1069867.93118478</v>
      </c>
      <c r="U15" s="41" t="n">
        <f aca="false">SUM($E$14:U14)</f>
        <v>1086650.94065596</v>
      </c>
      <c r="V15" s="41" t="n">
        <f aca="false">SUM($E$14:V14)</f>
        <v>1101261.82648246</v>
      </c>
      <c r="W15" s="41" t="n">
        <f aca="false">SUM($E$14:W14)</f>
        <v>1113982.91771612</v>
      </c>
      <c r="X15" s="41" t="n">
        <f aca="false">SUM($E$14:X14)</f>
        <v>1125059.67551826</v>
      </c>
      <c r="Y15" s="41" t="n">
        <f aca="false">SUM($E$14:Y14)</f>
        <v>1134705.53191341</v>
      </c>
      <c r="Z15" s="41" t="n">
        <f aca="false">SUM($E$14:Z14)</f>
        <v>1143106.09000826</v>
      </c>
      <c r="AA15" s="41" t="n">
        <f aca="false">SUM($E$14:AA14)</f>
        <v>1150422.77043258</v>
      </c>
      <c r="AB15" s="41" t="n">
        <f aca="false">SUM($E$14:AB14)</f>
        <v>1156795.9774379</v>
      </c>
    </row>
    <row r="16" customFormat="false" ht="15" hidden="false" customHeight="false" outlineLevel="0" collapsed="false">
      <c r="A16" s="14"/>
      <c r="B16" s="8"/>
      <c r="C16" s="9" t="s">
        <v>258</v>
      </c>
      <c r="D16" s="34" t="n">
        <f aca="false">AB16</f>
        <v>1156795.9774379</v>
      </c>
      <c r="E16" s="41" t="n">
        <f aca="false">MAX(Assumptions!$C$37,E15)</f>
        <v>950000</v>
      </c>
      <c r="F16" s="41" t="n">
        <f aca="false">MAX(Assumptions!$C$37,F15)</f>
        <v>950000</v>
      </c>
      <c r="G16" s="41" t="n">
        <f aca="false">MAX(Assumptions!$C$37,G15)</f>
        <v>950000</v>
      </c>
      <c r="H16" s="41" t="n">
        <f aca="false">MAX(Assumptions!$C$37,H15)</f>
        <v>950000</v>
      </c>
      <c r="I16" s="41" t="n">
        <f aca="false">MAX(Assumptions!$C$37,I15)</f>
        <v>950000</v>
      </c>
      <c r="J16" s="41" t="n">
        <f aca="false">MAX(Assumptions!$C$37,J15)</f>
        <v>950000</v>
      </c>
      <c r="K16" s="41" t="n">
        <f aca="false">MAX(Assumptions!$C$37,K15)</f>
        <v>950000</v>
      </c>
      <c r="L16" s="41" t="n">
        <f aca="false">MAX(Assumptions!$C$37,L15)</f>
        <v>950000</v>
      </c>
      <c r="M16" s="41" t="n">
        <f aca="false">MAX(Assumptions!$C$37,M15)</f>
        <v>950000</v>
      </c>
      <c r="N16" s="41" t="n">
        <f aca="false">MAX(Assumptions!$C$37,N15)</f>
        <v>950000</v>
      </c>
      <c r="O16" s="41" t="n">
        <f aca="false">MAX(Assumptions!$C$37,O15)</f>
        <v>950000</v>
      </c>
      <c r="P16" s="41" t="n">
        <f aca="false">MAX(Assumptions!$C$37,P15)</f>
        <v>973740.647747097</v>
      </c>
      <c r="Q16" s="41" t="n">
        <f aca="false">MAX(Assumptions!$C$37,Q15)</f>
        <v>1002986.69865128</v>
      </c>
      <c r="R16" s="41" t="n">
        <f aca="false">MAX(Assumptions!$C$37,R15)</f>
        <v>1028437.58556382</v>
      </c>
      <c r="S16" s="41" t="n">
        <f aca="false">MAX(Assumptions!$C$37,S15)</f>
        <v>1050588.02600047</v>
      </c>
      <c r="T16" s="41" t="n">
        <f aca="false">MAX(Assumptions!$C$37,T15)</f>
        <v>1069867.93118478</v>
      </c>
      <c r="U16" s="41" t="n">
        <f aca="false">MAX(Assumptions!$C$37,U15)</f>
        <v>1086650.94065596</v>
      </c>
      <c r="V16" s="41" t="n">
        <f aca="false">MAX(Assumptions!$C$37,V15)</f>
        <v>1101261.82648246</v>
      </c>
      <c r="W16" s="41" t="n">
        <f aca="false">MAX(Assumptions!$C$37,W15)</f>
        <v>1113982.91771612</v>
      </c>
      <c r="X16" s="41" t="n">
        <f aca="false">MAX(Assumptions!$C$37,X15)</f>
        <v>1125059.67551826</v>
      </c>
      <c r="Y16" s="41" t="n">
        <f aca="false">MAX(Assumptions!$C$37,Y15)</f>
        <v>1134705.53191341</v>
      </c>
      <c r="Z16" s="41" t="n">
        <f aca="false">MAX(Assumptions!$C$37,Z15)</f>
        <v>1143106.09000826</v>
      </c>
      <c r="AA16" s="41" t="n">
        <f aca="false">MAX(Assumptions!$C$37,AA15)</f>
        <v>1150422.77043258</v>
      </c>
      <c r="AB16" s="41" t="n">
        <f aca="false">MAX(Assumptions!$C$37,AB15)</f>
        <v>1156795.9774379</v>
      </c>
    </row>
    <row r="17" customFormat="false" ht="15" hidden="false" customHeight="false" outlineLevel="0" collapsed="false">
      <c r="A17" s="14"/>
      <c r="B17" s="8"/>
      <c r="C17" s="8" t="s">
        <v>251</v>
      </c>
      <c r="D17" s="34" t="n">
        <f aca="false">SUM(E17:AB17)</f>
        <v>1156795.9774379</v>
      </c>
      <c r="E17" s="41" t="n">
        <f aca="false">E16</f>
        <v>950000</v>
      </c>
      <c r="F17" s="41" t="n">
        <f aca="false">F16-E16</f>
        <v>0</v>
      </c>
      <c r="G17" s="41" t="n">
        <f aca="false">G16-F16</f>
        <v>0</v>
      </c>
      <c r="H17" s="41" t="n">
        <f aca="false">H16-G16</f>
        <v>0</v>
      </c>
      <c r="I17" s="41" t="n">
        <f aca="false">I16-H16</f>
        <v>0</v>
      </c>
      <c r="J17" s="41" t="n">
        <f aca="false">J16-I16</f>
        <v>0</v>
      </c>
      <c r="K17" s="41" t="n">
        <f aca="false">K16-J16</f>
        <v>0</v>
      </c>
      <c r="L17" s="41" t="n">
        <f aca="false">L16-K16</f>
        <v>0</v>
      </c>
      <c r="M17" s="41" t="n">
        <f aca="false">M16-L16</f>
        <v>0</v>
      </c>
      <c r="N17" s="41" t="n">
        <f aca="false">N16-M16</f>
        <v>0</v>
      </c>
      <c r="O17" s="41" t="n">
        <f aca="false">O16-N16</f>
        <v>0</v>
      </c>
      <c r="P17" s="41" t="n">
        <f aca="false">P16-O16</f>
        <v>23740.6477470966</v>
      </c>
      <c r="Q17" s="41" t="n">
        <f aca="false">Q16-P16</f>
        <v>29246.0509041798</v>
      </c>
      <c r="R17" s="41" t="n">
        <f aca="false">R16-Q16</f>
        <v>25450.8869125409</v>
      </c>
      <c r="S17" s="41" t="n">
        <f aca="false">S16-R16</f>
        <v>22150.440436648</v>
      </c>
      <c r="T17" s="41" t="n">
        <f aca="false">T16-S16</f>
        <v>19279.9051843116</v>
      </c>
      <c r="U17" s="41" t="n">
        <f aca="false">U16-T16</f>
        <v>16783.0094711869</v>
      </c>
      <c r="V17" s="41" t="n">
        <f aca="false">V16-U16</f>
        <v>14610.8858264957</v>
      </c>
      <c r="W17" s="41" t="n">
        <f aca="false">W16-V16</f>
        <v>12721.0912336577</v>
      </c>
      <c r="X17" s="41" t="n">
        <f aca="false">X16-W16</f>
        <v>11076.7578021458</v>
      </c>
      <c r="Y17" s="41" t="n">
        <f aca="false">Y16-X16</f>
        <v>9645.85639514308</v>
      </c>
      <c r="Z17" s="41" t="n">
        <f aca="false">Z16-Y16</f>
        <v>8400.55809485237</v>
      </c>
      <c r="AA17" s="41" t="n">
        <f aca="false">AA16-Z16</f>
        <v>7316.68042432563</v>
      </c>
      <c r="AB17" s="41" t="n">
        <f aca="false">AB16-AA16</f>
        <v>6373.20700532012</v>
      </c>
    </row>
    <row r="18" customFormat="false" ht="15" hidden="false" customHeight="false" outlineLevel="0" collapsed="false">
      <c r="A18" s="14"/>
      <c r="B18" s="8"/>
      <c r="C18" s="9" t="s">
        <v>252</v>
      </c>
      <c r="D18" s="34" t="n">
        <f aca="false">SUM(E18:AB18)</f>
        <v>437026.293233409</v>
      </c>
      <c r="E18" s="41" t="n">
        <f aca="false">'Title Economics'!E51-E17</f>
        <v>-1172890.9319313</v>
      </c>
      <c r="F18" s="41" t="n">
        <f aca="false">'Title Economics'!F51-F17</f>
        <v>140881.669960115</v>
      </c>
      <c r="G18" s="41" t="n">
        <f aca="false">'Title Economics'!G51-G17</f>
        <v>176369.970527371</v>
      </c>
      <c r="H18" s="41" t="n">
        <f aca="false">'Title Economics'!H51-H17</f>
        <v>166962.216848481</v>
      </c>
      <c r="I18" s="41" t="n">
        <f aca="false">'Title Economics'!I51-I17</f>
        <v>183702.97839702</v>
      </c>
      <c r="J18" s="41" t="n">
        <f aca="false">'Title Economics'!J51-J17</f>
        <v>159905.708933384</v>
      </c>
      <c r="K18" s="41" t="n">
        <f aca="false">'Title Economics'!K51-K17</f>
        <v>139204.467351568</v>
      </c>
      <c r="L18" s="41" t="n">
        <f aca="false">'Title Economics'!L51-L17</f>
        <v>121194.57479174</v>
      </c>
      <c r="M18" s="41" t="n">
        <f aca="false">'Title Economics'!M51-M17</f>
        <v>105524.515423466</v>
      </c>
      <c r="N18" s="41" t="n">
        <f aca="false">'Title Economics'!N51-N17</f>
        <v>91888.9143034885</v>
      </c>
      <c r="O18" s="41" t="n">
        <f aca="false">'Title Economics'!O51-O17</f>
        <v>80022.4481767087</v>
      </c>
      <c r="P18" s="41" t="n">
        <f aca="false">'Title Economics'!P51-P17</f>
        <v>45953.916756485</v>
      </c>
      <c r="Q18" s="41" t="n">
        <f aca="false">'Title Economics'!Q51-Q17</f>
        <v>31458.8498742293</v>
      </c>
      <c r="R18" s="41" t="n">
        <f aca="false">'Title Economics'!R51-R17</f>
        <v>27428.423798367</v>
      </c>
      <c r="S18" s="41" t="n">
        <f aca="false">'Title Economics'!S51-S17</f>
        <v>23915.9759513348</v>
      </c>
      <c r="T18" s="41" t="n">
        <f aca="false">'Title Economics'!T51-T17</f>
        <v>20854.7111971693</v>
      </c>
      <c r="U18" s="41" t="n">
        <f aca="false">'Title Economics'!U51-U17</f>
        <v>18186.4796804523</v>
      </c>
      <c r="V18" s="41" t="n">
        <f aca="false">'Title Economics'!V51-V17</f>
        <v>15860.6533876775</v>
      </c>
      <c r="W18" s="41" t="n">
        <f aca="false">'Title Economics'!W51-W17</f>
        <v>13833.149329704</v>
      </c>
      <c r="X18" s="41" t="n">
        <f aca="false">'Title Economics'!X51-X17</f>
        <v>12065.5801203384</v>
      </c>
      <c r="Y18" s="41" t="n">
        <f aca="false">'Title Economics'!Y51-Y17</f>
        <v>10524.5152595083</v>
      </c>
      <c r="Z18" s="41" t="n">
        <f aca="false">'Title Economics'!Z51-Z17</f>
        <v>9180.83862722919</v>
      </c>
      <c r="AA18" s="41" t="n">
        <f aca="false">'Title Economics'!AA51-AA17</f>
        <v>8009.18960143834</v>
      </c>
      <c r="AB18" s="41" t="n">
        <f aca="false">'Title Economics'!AB51-AB17</f>
        <v>6987.47686743058</v>
      </c>
    </row>
    <row r="19" customFormat="false" ht="15" hidden="false" customHeight="false" outlineLevel="0" collapsed="false">
      <c r="A19" s="14"/>
      <c r="B19" s="8"/>
      <c r="C19" s="9" t="s">
        <v>253</v>
      </c>
      <c r="D19" s="34" t="n">
        <f aca="false">SUM(E19:AB19)</f>
        <v>138499.984538248</v>
      </c>
      <c r="E19" s="41" t="n">
        <f aca="false">SUM($E$18:E18)</f>
        <v>-1172890.9319313</v>
      </c>
      <c r="F19" s="41" t="n">
        <f aca="false">SUM($E$18:F18)</f>
        <v>-1032009.26197118</v>
      </c>
      <c r="G19" s="41" t="n">
        <f aca="false">SUM($E$18:G18)</f>
        <v>-855639.291443811</v>
      </c>
      <c r="H19" s="41" t="n">
        <f aca="false">SUM($E$18:H18)</f>
        <v>-688677.074595331</v>
      </c>
      <c r="I19" s="41" t="n">
        <f aca="false">SUM($E$18:I18)</f>
        <v>-504974.09619831</v>
      </c>
      <c r="J19" s="41" t="n">
        <f aca="false">SUM($E$18:J18)</f>
        <v>-345068.387264926</v>
      </c>
      <c r="K19" s="41" t="n">
        <f aca="false">SUM($E$18:K18)</f>
        <v>-205863.919913358</v>
      </c>
      <c r="L19" s="41" t="n">
        <f aca="false">SUM($E$18:L18)</f>
        <v>-84669.3451216187</v>
      </c>
      <c r="M19" s="41" t="n">
        <f aca="false">SUM($E$18:M18)</f>
        <v>20855.1703018477</v>
      </c>
      <c r="N19" s="41" t="n">
        <f aca="false">SUM($E$18:N18)</f>
        <v>112744.084605336</v>
      </c>
      <c r="O19" s="41" t="n">
        <f aca="false">SUM($E$18:O18)</f>
        <v>192766.532782045</v>
      </c>
      <c r="P19" s="41" t="n">
        <f aca="false">SUM($E$18:P18)</f>
        <v>238720.44953853</v>
      </c>
      <c r="Q19" s="41" t="n">
        <f aca="false">SUM($E$18:Q18)</f>
        <v>270179.299412759</v>
      </c>
      <c r="R19" s="41" t="n">
        <f aca="false">SUM($E$18:R18)</f>
        <v>297607.723211126</v>
      </c>
      <c r="S19" s="41" t="n">
        <f aca="false">SUM($E$18:S18)</f>
        <v>321523.699162461</v>
      </c>
      <c r="T19" s="41" t="n">
        <f aca="false">SUM($E$18:T18)</f>
        <v>342378.41035963</v>
      </c>
      <c r="U19" s="41" t="n">
        <f aca="false">SUM($E$18:U18)</f>
        <v>360564.890040083</v>
      </c>
      <c r="V19" s="41" t="n">
        <f aca="false">SUM($E$18:V18)</f>
        <v>376425.54342776</v>
      </c>
      <c r="W19" s="41" t="n">
        <f aca="false">SUM($E$18:W18)</f>
        <v>390258.692757464</v>
      </c>
      <c r="X19" s="41" t="n">
        <f aca="false">SUM($E$18:X18)</f>
        <v>402324.272877803</v>
      </c>
      <c r="Y19" s="41" t="n">
        <f aca="false">SUM($E$18:Y18)</f>
        <v>412848.788137311</v>
      </c>
      <c r="Z19" s="41" t="n">
        <f aca="false">SUM($E$18:Z18)</f>
        <v>422029.62676454</v>
      </c>
      <c r="AA19" s="41" t="n">
        <f aca="false">SUM($E$18:AA18)</f>
        <v>430038.816365978</v>
      </c>
      <c r="AB19" s="41" t="n">
        <f aca="false">SUM($E$18:AB18)</f>
        <v>437026.293233409</v>
      </c>
    </row>
    <row r="20" customFormat="false" ht="15" hidden="false" customHeight="false" outlineLevel="0" collapsed="false">
      <c r="A20" s="14"/>
      <c r="B20" s="8"/>
      <c r="C20" s="9" t="s">
        <v>254</v>
      </c>
      <c r="D20" s="27" t="n">
        <f aca="false">IFERROR(MATCH(1,E20:AB20,0),"n/a")</f>
        <v>9</v>
      </c>
      <c r="E20" s="40" t="n">
        <f aca="false">IF(MIN(E19:$AB$19)&gt;0,1,0)</f>
        <v>0</v>
      </c>
      <c r="F20" s="40" t="n">
        <f aca="false">IF(MIN(F19:$AB$19)&gt;0,1,0)</f>
        <v>0</v>
      </c>
      <c r="G20" s="40" t="n">
        <f aca="false">IF(MIN(G19:$AB$19)&gt;0,1,0)</f>
        <v>0</v>
      </c>
      <c r="H20" s="40" t="n">
        <f aca="false">IF(MIN(H19:$AB$19)&gt;0,1,0)</f>
        <v>0</v>
      </c>
      <c r="I20" s="40" t="n">
        <f aca="false">IF(MIN(I19:$AB$19)&gt;0,1,0)</f>
        <v>0</v>
      </c>
      <c r="J20" s="40" t="n">
        <f aca="false">IF(MIN(J19:$AB$19)&gt;0,1,0)</f>
        <v>0</v>
      </c>
      <c r="K20" s="40" t="n">
        <f aca="false">IF(MIN(K19:$AB$19)&gt;0,1,0)</f>
        <v>0</v>
      </c>
      <c r="L20" s="40" t="n">
        <f aca="false">IF(MIN(L19:$AB$19)&gt;0,1,0)</f>
        <v>0</v>
      </c>
      <c r="M20" s="40" t="n">
        <f aca="false">IF(MIN(M19:$AB$19)&gt;0,1,0)</f>
        <v>1</v>
      </c>
      <c r="N20" s="40" t="n">
        <f aca="false">IF(MIN(N19:$AB$19)&gt;0,1,0)</f>
        <v>1</v>
      </c>
      <c r="O20" s="40" t="n">
        <f aca="false">IF(MIN(O19:$AB$19)&gt;0,1,0)</f>
        <v>1</v>
      </c>
      <c r="P20" s="40" t="n">
        <f aca="false">IF(MIN(P19:$AB$19)&gt;0,1,0)</f>
        <v>1</v>
      </c>
      <c r="Q20" s="40" t="n">
        <f aca="false">IF(MIN(Q19:$AB$19)&gt;0,1,0)</f>
        <v>1</v>
      </c>
      <c r="R20" s="40" t="n">
        <f aca="false">IF(MIN(R19:$AB$19)&gt;0,1,0)</f>
        <v>1</v>
      </c>
      <c r="S20" s="40" t="n">
        <f aca="false">IF(MIN(S19:$AB$19)&gt;0,1,0)</f>
        <v>1</v>
      </c>
      <c r="T20" s="40" t="n">
        <f aca="false">IF(MIN(T19:$AB$19)&gt;0,1,0)</f>
        <v>1</v>
      </c>
      <c r="U20" s="40" t="n">
        <f aca="false">IF(MIN(U19:$AB$19)&gt;0,1,0)</f>
        <v>1</v>
      </c>
      <c r="V20" s="40" t="n">
        <f aca="false">IF(MIN(V19:$AB$19)&gt;0,1,0)</f>
        <v>1</v>
      </c>
      <c r="W20" s="40" t="n">
        <f aca="false">IF(MIN(W19:$AB$19)&gt;0,1,0)</f>
        <v>1</v>
      </c>
      <c r="X20" s="40" t="n">
        <f aca="false">IF(MIN(X19:$AB$19)&gt;0,1,0)</f>
        <v>1</v>
      </c>
      <c r="Y20" s="40" t="n">
        <f aca="false">IF(MIN(Y19:$AB$19)&gt;0,1,0)</f>
        <v>1</v>
      </c>
      <c r="Z20" s="40" t="n">
        <f aca="false">IF(MIN(Z19:$AB$19)&gt;0,1,0)</f>
        <v>1</v>
      </c>
      <c r="AA20" s="40" t="n">
        <f aca="false">IF(MIN(AA19:$AB$19)&gt;0,1,0)</f>
        <v>1</v>
      </c>
      <c r="AB20" s="40" t="n">
        <f aca="false">IF(MIN(AB19:$AB$19)&gt;0,1,0)</f>
        <v>1</v>
      </c>
    </row>
    <row r="22" customFormat="false" ht="15" hidden="false" customHeight="false" outlineLevel="0" collapsed="false">
      <c r="A22" s="14" t="s">
        <v>194</v>
      </c>
      <c r="B22" s="8" t="s">
        <v>259</v>
      </c>
      <c r="C22" s="9" t="s">
        <v>205</v>
      </c>
      <c r="D22" s="27" t="n">
        <f aca="false">AB22</f>
        <v>14529861.7330743</v>
      </c>
      <c r="E22" s="40" t="n">
        <f aca="false">'Monthly Viewing Forecast'!E41</f>
        <v>1978778.85841229</v>
      </c>
      <c r="F22" s="40" t="n">
        <f aca="false">'Monthly Viewing Forecast'!F41</f>
        <v>3696078.75939679</v>
      </c>
      <c r="G22" s="40" t="n">
        <f aca="false">'Monthly Viewing Forecast'!G41</f>
        <v>5186659.5409424</v>
      </c>
      <c r="H22" s="40" t="n">
        <f aca="false">'Monthly Viewing Forecast'!H41</f>
        <v>6480630.68036737</v>
      </c>
      <c r="I22" s="40" t="n">
        <f aca="false">'Monthly Viewing Forecast'!I41</f>
        <v>7604077.64462292</v>
      </c>
      <c r="J22" s="40" t="n">
        <f aca="false">'Monthly Viewing Forecast'!J41</f>
        <v>8579603.2823341</v>
      </c>
      <c r="K22" s="40" t="n">
        <f aca="false">'Monthly Viewing Forecast'!K41</f>
        <v>9426795.86576277</v>
      </c>
      <c r="L22" s="40" t="n">
        <f aca="false">'Monthly Viewing Forecast'!L41</f>
        <v>10162633.7928726</v>
      </c>
      <c r="M22" s="40" t="n">
        <f aca="false">'Monthly Viewing Forecast'!M41</f>
        <v>10801835.5833375</v>
      </c>
      <c r="N22" s="40" t="n">
        <f aca="false">'Monthly Viewing Forecast'!N41</f>
        <v>11357162.6166782</v>
      </c>
      <c r="O22" s="40" t="n">
        <f aca="false">'Monthly Viewing Forecast'!O41</f>
        <v>11839681.039116</v>
      </c>
      <c r="P22" s="40" t="n">
        <f aca="false">'Monthly Viewing Forecast'!P41</f>
        <v>12258988.3853229</v>
      </c>
      <c r="Q22" s="40" t="n">
        <f aca="false">'Monthly Viewing Forecast'!Q41</f>
        <v>12623409.7023598</v>
      </c>
      <c r="R22" s="40" t="n">
        <f aca="false">'Monthly Viewing Forecast'!R41</f>
        <v>12940167.3088317</v>
      </c>
      <c r="S22" s="40" t="n">
        <f aca="false">'Monthly Viewing Forecast'!S41</f>
        <v>13215527.7581079</v>
      </c>
      <c r="T22" s="40" t="n">
        <f aca="false">'Monthly Viewing Forecast'!T41</f>
        <v>13454929.0878712</v>
      </c>
      <c r="U22" s="40" t="n">
        <f aca="false">'Monthly Viewing Forecast'!U41</f>
        <v>13663091.0185043</v>
      </c>
      <c r="V22" s="40" t="n">
        <f aca="false">'Monthly Viewing Forecast'!V41</f>
        <v>13844110.4006597</v>
      </c>
      <c r="W22" s="40" t="n">
        <f aca="false">'Monthly Viewing Forecast'!W41</f>
        <v>14001543.8998209</v>
      </c>
      <c r="X22" s="40" t="n">
        <f aca="false">'Monthly Viewing Forecast'!X41</f>
        <v>14138479.6358975</v>
      </c>
      <c r="Y22" s="40" t="n">
        <f aca="false">'Monthly Viewing Forecast'!Y41</f>
        <v>14257599.2630126</v>
      </c>
      <c r="Z22" s="40" t="n">
        <f aca="false">'Monthly Viewing Forecast'!Z41</f>
        <v>14361231.7735508</v>
      </c>
      <c r="AA22" s="40" t="n">
        <f aca="false">'Monthly Viewing Forecast'!AA41</f>
        <v>14451400.1368704</v>
      </c>
      <c r="AB22" s="40" t="n">
        <f aca="false">'Monthly Viewing Forecast'!AB41</f>
        <v>14529861.7330743</v>
      </c>
    </row>
    <row r="23" customFormat="false" ht="15" hidden="false" customHeight="false" outlineLevel="0" collapsed="false">
      <c r="A23" s="14"/>
      <c r="B23" s="8"/>
      <c r="C23" s="8" t="s">
        <v>251</v>
      </c>
      <c r="D23" s="34" t="n">
        <f aca="false">SUM(E23:AB23)</f>
        <v>850000</v>
      </c>
      <c r="E23" s="41" t="n">
        <f aca="false">IF(E$4=1,Assumptions!$C$41,0)+IF(E$4=12,IF(E22&gt;=Assumptions!$C$43,Assumptions!$C$42,0),0)+IF(E$4=18,IF(E22&gt;=Assumptions!$C$45,Assumptions!$C$44,0),0)+IF(E$4=24,IF(E22&gt;=Assumptions!$C$47,Assumptions!$C$46,0),0)</f>
        <v>850000</v>
      </c>
      <c r="F23" s="41" t="n">
        <f aca="false">IF(F$4=1,Assumptions!$C$41,0)+IF(F$4=12,IF(F22&gt;=Assumptions!$C$43,Assumptions!$C$42,0),0)+IF(F$4=18,IF(F22&gt;=Assumptions!$C$45,Assumptions!$C$44,0),0)+IF(F$4=24,IF(F22&gt;=Assumptions!$C$47,Assumptions!$C$46,0),0)</f>
        <v>0</v>
      </c>
      <c r="G23" s="41" t="n">
        <f aca="false">IF(G$4=1,Assumptions!$C$41,0)+IF(G$4=12,IF(G22&gt;=Assumptions!$C$43,Assumptions!$C$42,0),0)+IF(G$4=18,IF(G22&gt;=Assumptions!$C$45,Assumptions!$C$44,0),0)+IF(G$4=24,IF(G22&gt;=Assumptions!$C$47,Assumptions!$C$46,0),0)</f>
        <v>0</v>
      </c>
      <c r="H23" s="41" t="n">
        <f aca="false">IF(H$4=1,Assumptions!$C$41,0)+IF(H$4=12,IF(H22&gt;=Assumptions!$C$43,Assumptions!$C$42,0),0)+IF(H$4=18,IF(H22&gt;=Assumptions!$C$45,Assumptions!$C$44,0),0)+IF(H$4=24,IF(H22&gt;=Assumptions!$C$47,Assumptions!$C$46,0),0)</f>
        <v>0</v>
      </c>
      <c r="I23" s="41" t="n">
        <f aca="false">IF(I$4=1,Assumptions!$C$41,0)+IF(I$4=12,IF(I22&gt;=Assumptions!$C$43,Assumptions!$C$42,0),0)+IF(I$4=18,IF(I22&gt;=Assumptions!$C$45,Assumptions!$C$44,0),0)+IF(I$4=24,IF(I22&gt;=Assumptions!$C$47,Assumptions!$C$46,0),0)</f>
        <v>0</v>
      </c>
      <c r="J23" s="41" t="n">
        <f aca="false">IF(J$4=1,Assumptions!$C$41,0)+IF(J$4=12,IF(J22&gt;=Assumptions!$C$43,Assumptions!$C$42,0),0)+IF(J$4=18,IF(J22&gt;=Assumptions!$C$45,Assumptions!$C$44,0),0)+IF(J$4=24,IF(J22&gt;=Assumptions!$C$47,Assumptions!$C$46,0),0)</f>
        <v>0</v>
      </c>
      <c r="K23" s="41" t="n">
        <f aca="false">IF(K$4=1,Assumptions!$C$41,0)+IF(K$4=12,IF(K22&gt;=Assumptions!$C$43,Assumptions!$C$42,0),0)+IF(K$4=18,IF(K22&gt;=Assumptions!$C$45,Assumptions!$C$44,0),0)+IF(K$4=24,IF(K22&gt;=Assumptions!$C$47,Assumptions!$C$46,0),0)</f>
        <v>0</v>
      </c>
      <c r="L23" s="41" t="n">
        <f aca="false">IF(L$4=1,Assumptions!$C$41,0)+IF(L$4=12,IF(L22&gt;=Assumptions!$C$43,Assumptions!$C$42,0),0)+IF(L$4=18,IF(L22&gt;=Assumptions!$C$45,Assumptions!$C$44,0),0)+IF(L$4=24,IF(L22&gt;=Assumptions!$C$47,Assumptions!$C$46,0),0)</f>
        <v>0</v>
      </c>
      <c r="M23" s="41" t="n">
        <f aca="false">IF(M$4=1,Assumptions!$C$41,0)+IF(M$4=12,IF(M22&gt;=Assumptions!$C$43,Assumptions!$C$42,0),0)+IF(M$4=18,IF(M22&gt;=Assumptions!$C$45,Assumptions!$C$44,0),0)+IF(M$4=24,IF(M22&gt;=Assumptions!$C$47,Assumptions!$C$46,0),0)</f>
        <v>0</v>
      </c>
      <c r="N23" s="41" t="n">
        <f aca="false">IF(N$4=1,Assumptions!$C$41,0)+IF(N$4=12,IF(N22&gt;=Assumptions!$C$43,Assumptions!$C$42,0),0)+IF(N$4=18,IF(N22&gt;=Assumptions!$C$45,Assumptions!$C$44,0),0)+IF(N$4=24,IF(N22&gt;=Assumptions!$C$47,Assumptions!$C$46,0),0)</f>
        <v>0</v>
      </c>
      <c r="O23" s="41" t="n">
        <f aca="false">IF(O$4=1,Assumptions!$C$41,0)+IF(O$4=12,IF(O22&gt;=Assumptions!$C$43,Assumptions!$C$42,0),0)+IF(O$4=18,IF(O22&gt;=Assumptions!$C$45,Assumptions!$C$44,0),0)+IF(O$4=24,IF(O22&gt;=Assumptions!$C$47,Assumptions!$C$46,0),0)</f>
        <v>0</v>
      </c>
      <c r="P23" s="41" t="n">
        <f aca="false">IF(P$4=1,Assumptions!$C$41,0)+IF(P$4=12,IF(P22&gt;=Assumptions!$C$43,Assumptions!$C$42,0),0)+IF(P$4=18,IF(P22&gt;=Assumptions!$C$45,Assumptions!$C$44,0),0)+IF(P$4=24,IF(P22&gt;=Assumptions!$C$47,Assumptions!$C$46,0),0)</f>
        <v>0</v>
      </c>
      <c r="Q23" s="41" t="n">
        <f aca="false">IF(Q$4=1,Assumptions!$C$41,0)+IF(Q$4=12,IF(Q22&gt;=Assumptions!$C$43,Assumptions!$C$42,0),0)+IF(Q$4=18,IF(Q22&gt;=Assumptions!$C$45,Assumptions!$C$44,0),0)+IF(Q$4=24,IF(Q22&gt;=Assumptions!$C$47,Assumptions!$C$46,0),0)</f>
        <v>0</v>
      </c>
      <c r="R23" s="41" t="n">
        <f aca="false">IF(R$4=1,Assumptions!$C$41,0)+IF(R$4=12,IF(R22&gt;=Assumptions!$C$43,Assumptions!$C$42,0),0)+IF(R$4=18,IF(R22&gt;=Assumptions!$C$45,Assumptions!$C$44,0),0)+IF(R$4=24,IF(R22&gt;=Assumptions!$C$47,Assumptions!$C$46,0),0)</f>
        <v>0</v>
      </c>
      <c r="S23" s="41" t="n">
        <f aca="false">IF(S$4=1,Assumptions!$C$41,0)+IF(S$4=12,IF(S22&gt;=Assumptions!$C$43,Assumptions!$C$42,0),0)+IF(S$4=18,IF(S22&gt;=Assumptions!$C$45,Assumptions!$C$44,0),0)+IF(S$4=24,IF(S22&gt;=Assumptions!$C$47,Assumptions!$C$46,0),0)</f>
        <v>0</v>
      </c>
      <c r="T23" s="41" t="n">
        <f aca="false">IF(T$4=1,Assumptions!$C$41,0)+IF(T$4=12,IF(T22&gt;=Assumptions!$C$43,Assumptions!$C$42,0),0)+IF(T$4=18,IF(T22&gt;=Assumptions!$C$45,Assumptions!$C$44,0),0)+IF(T$4=24,IF(T22&gt;=Assumptions!$C$47,Assumptions!$C$46,0),0)</f>
        <v>0</v>
      </c>
      <c r="U23" s="41" t="n">
        <f aca="false">IF(U$4=1,Assumptions!$C$41,0)+IF(U$4=12,IF(U22&gt;=Assumptions!$C$43,Assumptions!$C$42,0),0)+IF(U$4=18,IF(U22&gt;=Assumptions!$C$45,Assumptions!$C$44,0),0)+IF(U$4=24,IF(U22&gt;=Assumptions!$C$47,Assumptions!$C$46,0),0)</f>
        <v>0</v>
      </c>
      <c r="V23" s="41" t="n">
        <f aca="false">IF(V$4=1,Assumptions!$C$41,0)+IF(V$4=12,IF(V22&gt;=Assumptions!$C$43,Assumptions!$C$42,0),0)+IF(V$4=18,IF(V22&gt;=Assumptions!$C$45,Assumptions!$C$44,0),0)+IF(V$4=24,IF(V22&gt;=Assumptions!$C$47,Assumptions!$C$46,0),0)</f>
        <v>0</v>
      </c>
      <c r="W23" s="41" t="n">
        <f aca="false">IF(W$4=1,Assumptions!$C$41,0)+IF(W$4=12,IF(W22&gt;=Assumptions!$C$43,Assumptions!$C$42,0),0)+IF(W$4=18,IF(W22&gt;=Assumptions!$C$45,Assumptions!$C$44,0),0)+IF(W$4=24,IF(W22&gt;=Assumptions!$C$47,Assumptions!$C$46,0),0)</f>
        <v>0</v>
      </c>
      <c r="X23" s="41" t="n">
        <f aca="false">IF(X$4=1,Assumptions!$C$41,0)+IF(X$4=12,IF(X22&gt;=Assumptions!$C$43,Assumptions!$C$42,0),0)+IF(X$4=18,IF(X22&gt;=Assumptions!$C$45,Assumptions!$C$44,0),0)+IF(X$4=24,IF(X22&gt;=Assumptions!$C$47,Assumptions!$C$46,0),0)</f>
        <v>0</v>
      </c>
      <c r="Y23" s="41" t="n">
        <f aca="false">IF(Y$4=1,Assumptions!$C$41,0)+IF(Y$4=12,IF(Y22&gt;=Assumptions!$C$43,Assumptions!$C$42,0),0)+IF(Y$4=18,IF(Y22&gt;=Assumptions!$C$45,Assumptions!$C$44,0),0)+IF(Y$4=24,IF(Y22&gt;=Assumptions!$C$47,Assumptions!$C$46,0),0)</f>
        <v>0</v>
      </c>
      <c r="Z23" s="41" t="n">
        <f aca="false">IF(Z$4=1,Assumptions!$C$41,0)+IF(Z$4=12,IF(Z22&gt;=Assumptions!$C$43,Assumptions!$C$42,0),0)+IF(Z$4=18,IF(Z22&gt;=Assumptions!$C$45,Assumptions!$C$44,0),0)+IF(Z$4=24,IF(Z22&gt;=Assumptions!$C$47,Assumptions!$C$46,0),0)</f>
        <v>0</v>
      </c>
      <c r="AA23" s="41" t="n">
        <f aca="false">IF(AA$4=1,Assumptions!$C$41,0)+IF(AA$4=12,IF(AA22&gt;=Assumptions!$C$43,Assumptions!$C$42,0),0)+IF(AA$4=18,IF(AA22&gt;=Assumptions!$C$45,Assumptions!$C$44,0),0)+IF(AA$4=24,IF(AA22&gt;=Assumptions!$C$47,Assumptions!$C$46,0),0)</f>
        <v>0</v>
      </c>
      <c r="AB23" s="41" t="n">
        <f aca="false">IF(AB$4=1,Assumptions!$C$41,0)+IF(AB$4=12,IF(AB22&gt;=Assumptions!$C$43,Assumptions!$C$42,0),0)+IF(AB$4=18,IF(AB22&gt;=Assumptions!$C$45,Assumptions!$C$44,0),0)+IF(AB$4=24,IF(AB22&gt;=Assumptions!$C$47,Assumptions!$C$46,0),0)</f>
        <v>0</v>
      </c>
    </row>
    <row r="24" customFormat="false" ht="15" hidden="false" customHeight="false" outlineLevel="0" collapsed="false">
      <c r="A24" s="14"/>
      <c r="B24" s="8"/>
      <c r="C24" s="9" t="s">
        <v>252</v>
      </c>
      <c r="D24" s="34" t="n">
        <f aca="false">SUM(E24:AB24)</f>
        <v>743822.270671313</v>
      </c>
      <c r="E24" s="41" t="n">
        <f aca="false">'Title Economics'!E51-E23</f>
        <v>-1072890.9319313</v>
      </c>
      <c r="F24" s="41" t="n">
        <f aca="false">'Title Economics'!F51-F23</f>
        <v>140881.669960115</v>
      </c>
      <c r="G24" s="41" t="n">
        <f aca="false">'Title Economics'!G51-G23</f>
        <v>176369.970527371</v>
      </c>
      <c r="H24" s="41" t="n">
        <f aca="false">'Title Economics'!H51-H23</f>
        <v>166962.216848481</v>
      </c>
      <c r="I24" s="41" t="n">
        <f aca="false">'Title Economics'!I51-I23</f>
        <v>183702.97839702</v>
      </c>
      <c r="J24" s="41" t="n">
        <f aca="false">'Title Economics'!J51-J23</f>
        <v>159905.708933384</v>
      </c>
      <c r="K24" s="41" t="n">
        <f aca="false">'Title Economics'!K51-K23</f>
        <v>139204.467351568</v>
      </c>
      <c r="L24" s="41" t="n">
        <f aca="false">'Title Economics'!L51-L23</f>
        <v>121194.57479174</v>
      </c>
      <c r="M24" s="41" t="n">
        <f aca="false">'Title Economics'!M51-M23</f>
        <v>105524.515423466</v>
      </c>
      <c r="N24" s="41" t="n">
        <f aca="false">'Title Economics'!N51-N23</f>
        <v>91888.9143034885</v>
      </c>
      <c r="O24" s="41" t="n">
        <f aca="false">'Title Economics'!O51-O23</f>
        <v>80022.4481767087</v>
      </c>
      <c r="P24" s="41" t="n">
        <f aca="false">'Title Economics'!P51-P23</f>
        <v>69694.5645035816</v>
      </c>
      <c r="Q24" s="41" t="n">
        <f aca="false">'Title Economics'!Q51-Q23</f>
        <v>60704.9007784091</v>
      </c>
      <c r="R24" s="41" t="n">
        <f aca="false">'Title Economics'!R51-R23</f>
        <v>52879.3107109078</v>
      </c>
      <c r="S24" s="41" t="n">
        <f aca="false">'Title Economics'!S51-S23</f>
        <v>46066.4163879828</v>
      </c>
      <c r="T24" s="41" t="n">
        <f aca="false">'Title Economics'!T51-T23</f>
        <v>40134.6163814808</v>
      </c>
      <c r="U24" s="41" t="n">
        <f aca="false">'Title Economics'!U51-U23</f>
        <v>34969.4891516392</v>
      </c>
      <c r="V24" s="41" t="n">
        <f aca="false">'Title Economics'!V51-V23</f>
        <v>30471.5392141732</v>
      </c>
      <c r="W24" s="41" t="n">
        <f aca="false">'Title Economics'!W51-W23</f>
        <v>26554.2405633617</v>
      </c>
      <c r="X24" s="41" t="n">
        <f aca="false">'Title Economics'!X51-X23</f>
        <v>23142.3379224842</v>
      </c>
      <c r="Y24" s="41" t="n">
        <f aca="false">'Title Economics'!Y51-Y23</f>
        <v>20170.3716546514</v>
      </c>
      <c r="Z24" s="41" t="n">
        <f aca="false">'Title Economics'!Z51-Z23</f>
        <v>17581.3967220816</v>
      </c>
      <c r="AA24" s="41" t="n">
        <f aca="false">'Title Economics'!AA51-AA23</f>
        <v>15325.870025764</v>
      </c>
      <c r="AB24" s="41" t="n">
        <f aca="false">'Title Economics'!AB51-AB23</f>
        <v>13360.6838727507</v>
      </c>
    </row>
    <row r="25" customFormat="false" ht="15" hidden="false" customHeight="false" outlineLevel="0" collapsed="false">
      <c r="A25" s="14"/>
      <c r="B25" s="8"/>
      <c r="C25" s="9" t="s">
        <v>253</v>
      </c>
      <c r="D25" s="34" t="n">
        <f aca="false">SUM(E25:AB25)</f>
        <v>4326106.60385064</v>
      </c>
      <c r="E25" s="41" t="n">
        <f aca="false">SUM($E$24:E24)</f>
        <v>-1072890.9319313</v>
      </c>
      <c r="F25" s="41" t="n">
        <f aca="false">SUM($E$24:F24)</f>
        <v>-932009.261971182</v>
      </c>
      <c r="G25" s="41" t="n">
        <f aca="false">SUM($E$24:G24)</f>
        <v>-755639.291443811</v>
      </c>
      <c r="H25" s="41" t="n">
        <f aca="false">SUM($E$24:H24)</f>
        <v>-588677.074595331</v>
      </c>
      <c r="I25" s="41" t="n">
        <f aca="false">SUM($E$24:I24)</f>
        <v>-404974.09619831</v>
      </c>
      <c r="J25" s="41" t="n">
        <f aca="false">SUM($E$24:J24)</f>
        <v>-245068.387264926</v>
      </c>
      <c r="K25" s="41" t="n">
        <f aca="false">SUM($E$24:K24)</f>
        <v>-105863.919913358</v>
      </c>
      <c r="L25" s="41" t="n">
        <f aca="false">SUM($E$24:L24)</f>
        <v>15330.6548783813</v>
      </c>
      <c r="M25" s="41" t="n">
        <f aca="false">SUM($E$24:M24)</f>
        <v>120855.170301848</v>
      </c>
      <c r="N25" s="41" t="n">
        <f aca="false">SUM($E$24:N24)</f>
        <v>212744.084605336</v>
      </c>
      <c r="O25" s="41" t="n">
        <f aca="false">SUM($E$24:O24)</f>
        <v>292766.532782045</v>
      </c>
      <c r="P25" s="41" t="n">
        <f aca="false">SUM($E$24:P24)</f>
        <v>362461.097285626</v>
      </c>
      <c r="Q25" s="41" t="n">
        <f aca="false">SUM($E$24:Q24)</f>
        <v>423165.998064036</v>
      </c>
      <c r="R25" s="41" t="n">
        <f aca="false">SUM($E$24:R24)</f>
        <v>476045.308774943</v>
      </c>
      <c r="S25" s="41" t="n">
        <f aca="false">SUM($E$24:S24)</f>
        <v>522111.725162926</v>
      </c>
      <c r="T25" s="41" t="n">
        <f aca="false">SUM($E$24:T24)</f>
        <v>562246.341544407</v>
      </c>
      <c r="U25" s="41" t="n">
        <f aca="false">SUM($E$24:U24)</f>
        <v>597215.830696046</v>
      </c>
      <c r="V25" s="41" t="n">
        <f aca="false">SUM($E$24:V24)</f>
        <v>627687.36991022</v>
      </c>
      <c r="W25" s="41" t="n">
        <f aca="false">SUM($E$24:W24)</f>
        <v>654241.610473581</v>
      </c>
      <c r="X25" s="41" t="n">
        <f aca="false">SUM($E$24:X24)</f>
        <v>677383.948396065</v>
      </c>
      <c r="Y25" s="41" t="n">
        <f aca="false">SUM($E$24:Y24)</f>
        <v>697554.320050717</v>
      </c>
      <c r="Z25" s="41" t="n">
        <f aca="false">SUM($E$24:Z24)</f>
        <v>715135.716772798</v>
      </c>
      <c r="AA25" s="41" t="n">
        <f aca="false">SUM($E$24:AA24)</f>
        <v>730461.586798562</v>
      </c>
      <c r="AB25" s="41" t="n">
        <f aca="false">SUM($E$24:AB24)</f>
        <v>743822.270671313</v>
      </c>
    </row>
    <row r="26" customFormat="false" ht="15" hidden="false" customHeight="false" outlineLevel="0" collapsed="false">
      <c r="A26" s="14"/>
      <c r="B26" s="8"/>
      <c r="C26" s="9" t="s">
        <v>254</v>
      </c>
      <c r="D26" s="27" t="n">
        <f aca="false">IFERROR(MATCH(1,E26:AB26,0),"n/a")</f>
        <v>8</v>
      </c>
      <c r="E26" s="40" t="n">
        <f aca="false">IF(MIN(E25:$AB$25)&gt;0,1,0)</f>
        <v>0</v>
      </c>
      <c r="F26" s="40" t="n">
        <f aca="false">IF(MIN(F25:$AB$25)&gt;0,1,0)</f>
        <v>0</v>
      </c>
      <c r="G26" s="40" t="n">
        <f aca="false">IF(MIN(G25:$AB$25)&gt;0,1,0)</f>
        <v>0</v>
      </c>
      <c r="H26" s="40" t="n">
        <f aca="false">IF(MIN(H25:$AB$25)&gt;0,1,0)</f>
        <v>0</v>
      </c>
      <c r="I26" s="40" t="n">
        <f aca="false">IF(MIN(I25:$AB$25)&gt;0,1,0)</f>
        <v>0</v>
      </c>
      <c r="J26" s="40" t="n">
        <f aca="false">IF(MIN(J25:$AB$25)&gt;0,1,0)</f>
        <v>0</v>
      </c>
      <c r="K26" s="40" t="n">
        <f aca="false">IF(MIN(K25:$AB$25)&gt;0,1,0)</f>
        <v>0</v>
      </c>
      <c r="L26" s="40" t="n">
        <f aca="false">IF(MIN(L25:$AB$25)&gt;0,1,0)</f>
        <v>1</v>
      </c>
      <c r="M26" s="40" t="n">
        <f aca="false">IF(MIN(M25:$AB$25)&gt;0,1,0)</f>
        <v>1</v>
      </c>
      <c r="N26" s="40" t="n">
        <f aca="false">IF(MIN(N25:$AB$25)&gt;0,1,0)</f>
        <v>1</v>
      </c>
      <c r="O26" s="40" t="n">
        <f aca="false">IF(MIN(O25:$AB$25)&gt;0,1,0)</f>
        <v>1</v>
      </c>
      <c r="P26" s="40" t="n">
        <f aca="false">IF(MIN(P25:$AB$25)&gt;0,1,0)</f>
        <v>1</v>
      </c>
      <c r="Q26" s="40" t="n">
        <f aca="false">IF(MIN(Q25:$AB$25)&gt;0,1,0)</f>
        <v>1</v>
      </c>
      <c r="R26" s="40" t="n">
        <f aca="false">IF(MIN(R25:$AB$25)&gt;0,1,0)</f>
        <v>1</v>
      </c>
      <c r="S26" s="40" t="n">
        <f aca="false">IF(MIN(S25:$AB$25)&gt;0,1,0)</f>
        <v>1</v>
      </c>
      <c r="T26" s="40" t="n">
        <f aca="false">IF(MIN(T25:$AB$25)&gt;0,1,0)</f>
        <v>1</v>
      </c>
      <c r="U26" s="40" t="n">
        <f aca="false">IF(MIN(U25:$AB$25)&gt;0,1,0)</f>
        <v>1</v>
      </c>
      <c r="V26" s="40" t="n">
        <f aca="false">IF(MIN(V25:$AB$25)&gt;0,1,0)</f>
        <v>1</v>
      </c>
      <c r="W26" s="40" t="n">
        <f aca="false">IF(MIN(W25:$AB$25)&gt;0,1,0)</f>
        <v>1</v>
      </c>
      <c r="X26" s="40" t="n">
        <f aca="false">IF(MIN(X25:$AB$25)&gt;0,1,0)</f>
        <v>1</v>
      </c>
      <c r="Y26" s="40" t="n">
        <f aca="false">IF(MIN(Y25:$AB$25)&gt;0,1,0)</f>
        <v>1</v>
      </c>
      <c r="Z26" s="40" t="n">
        <f aca="false">IF(MIN(Z25:$AB$25)&gt;0,1,0)</f>
        <v>1</v>
      </c>
      <c r="AA26" s="40" t="n">
        <f aca="false">IF(MIN(AA25:$AB$25)&gt;0,1,0)</f>
        <v>1</v>
      </c>
      <c r="AB26" s="40" t="n">
        <f aca="false">IF(MIN(AB25:$AB$25)&gt;0,1,0)</f>
        <v>1</v>
      </c>
    </row>
    <row r="29" customFormat="false" ht="15" hidden="false" customHeight="false" outlineLevel="0" collapsed="false">
      <c r="A29" s="38" t="s">
        <v>207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0" customFormat="false" ht="15" hidden="false" customHeight="false" outlineLevel="0" collapsed="false">
      <c r="A30" s="14" t="s">
        <v>208</v>
      </c>
      <c r="B30" s="8" t="s">
        <v>250</v>
      </c>
      <c r="C30" s="8" t="s">
        <v>251</v>
      </c>
      <c r="D30" s="34" t="n">
        <f aca="false">SUM(E30:AB30)</f>
        <v>1498516.65585667</v>
      </c>
      <c r="E30" s="41" t="n">
        <f aca="false">IF(E$4=Assumptions!$C$31,'Deal Structures'!$D$6*Assumptions!$C$30,0)+IF(E$4=Assumptions!$C$33,'Deal Structures'!$D$6*Assumptions!$C$32,0)</f>
        <v>749258.327928335</v>
      </c>
      <c r="F30" s="41" t="n">
        <f aca="false">IF(F$4=Assumptions!$C$31,'Deal Structures'!$D$6*Assumptions!$C$30,0)+IF(F$4=Assumptions!$C$33,'Deal Structures'!$D$6*Assumptions!$C$32,0)</f>
        <v>0</v>
      </c>
      <c r="G30" s="41" t="n">
        <f aca="false">IF(G$4=Assumptions!$C$31,'Deal Structures'!$D$6*Assumptions!$C$30,0)+IF(G$4=Assumptions!$C$33,'Deal Structures'!$D$6*Assumptions!$C$32,0)</f>
        <v>0</v>
      </c>
      <c r="H30" s="41" t="n">
        <f aca="false">IF(H$4=Assumptions!$C$31,'Deal Structures'!$D$6*Assumptions!$C$30,0)+IF(H$4=Assumptions!$C$33,'Deal Structures'!$D$6*Assumptions!$C$32,0)</f>
        <v>0</v>
      </c>
      <c r="I30" s="41" t="n">
        <f aca="false">IF(I$4=Assumptions!$C$31,'Deal Structures'!$D$6*Assumptions!$C$30,0)+IF(I$4=Assumptions!$C$33,'Deal Structures'!$D$6*Assumptions!$C$32,0)</f>
        <v>0</v>
      </c>
      <c r="J30" s="41" t="n">
        <f aca="false">IF(J$4=Assumptions!$C$31,'Deal Structures'!$D$6*Assumptions!$C$30,0)+IF(J$4=Assumptions!$C$33,'Deal Structures'!$D$6*Assumptions!$C$32,0)</f>
        <v>0</v>
      </c>
      <c r="K30" s="41" t="n">
        <f aca="false">IF(K$4=Assumptions!$C$31,'Deal Structures'!$D$6*Assumptions!$C$30,0)+IF(K$4=Assumptions!$C$33,'Deal Structures'!$D$6*Assumptions!$C$32,0)</f>
        <v>749258.327928335</v>
      </c>
      <c r="L30" s="41" t="n">
        <f aca="false">IF(L$4=Assumptions!$C$31,'Deal Structures'!$D$6*Assumptions!$C$30,0)+IF(L$4=Assumptions!$C$33,'Deal Structures'!$D$6*Assumptions!$C$32,0)</f>
        <v>0</v>
      </c>
      <c r="M30" s="41" t="n">
        <f aca="false">IF(M$4=Assumptions!$C$31,'Deal Structures'!$D$6*Assumptions!$C$30,0)+IF(M$4=Assumptions!$C$33,'Deal Structures'!$D$6*Assumptions!$C$32,0)</f>
        <v>0</v>
      </c>
      <c r="N30" s="41" t="n">
        <f aca="false">IF(N$4=Assumptions!$C$31,'Deal Structures'!$D$6*Assumptions!$C$30,0)+IF(N$4=Assumptions!$C$33,'Deal Structures'!$D$6*Assumptions!$C$32,0)</f>
        <v>0</v>
      </c>
      <c r="O30" s="41" t="n">
        <f aca="false">IF(O$4=Assumptions!$C$31,'Deal Structures'!$D$6*Assumptions!$C$30,0)+IF(O$4=Assumptions!$C$33,'Deal Structures'!$D$6*Assumptions!$C$32,0)</f>
        <v>0</v>
      </c>
      <c r="P30" s="41" t="n">
        <f aca="false">IF(P$4=Assumptions!$C$31,'Deal Structures'!$D$6*Assumptions!$C$30,0)+IF(P$4=Assumptions!$C$33,'Deal Structures'!$D$6*Assumptions!$C$32,0)</f>
        <v>0</v>
      </c>
      <c r="Q30" s="41" t="n">
        <f aca="false">IF(Q$4=Assumptions!$C$31,'Deal Structures'!$D$6*Assumptions!$C$30,0)+IF(Q$4=Assumptions!$C$33,'Deal Structures'!$D$6*Assumptions!$C$32,0)</f>
        <v>0</v>
      </c>
      <c r="R30" s="41" t="n">
        <f aca="false">IF(R$4=Assumptions!$C$31,'Deal Structures'!$D$6*Assumptions!$C$30,0)+IF(R$4=Assumptions!$C$33,'Deal Structures'!$D$6*Assumptions!$C$32,0)</f>
        <v>0</v>
      </c>
      <c r="S30" s="41" t="n">
        <f aca="false">IF(S$4=Assumptions!$C$31,'Deal Structures'!$D$6*Assumptions!$C$30,0)+IF(S$4=Assumptions!$C$33,'Deal Structures'!$D$6*Assumptions!$C$32,0)</f>
        <v>0</v>
      </c>
      <c r="T30" s="41" t="n">
        <f aca="false">IF(T$4=Assumptions!$C$31,'Deal Structures'!$D$6*Assumptions!$C$30,0)+IF(T$4=Assumptions!$C$33,'Deal Structures'!$D$6*Assumptions!$C$32,0)</f>
        <v>0</v>
      </c>
      <c r="U30" s="41" t="n">
        <f aca="false">IF(U$4=Assumptions!$C$31,'Deal Structures'!$D$6*Assumptions!$C$30,0)+IF(U$4=Assumptions!$C$33,'Deal Structures'!$D$6*Assumptions!$C$32,0)</f>
        <v>0</v>
      </c>
      <c r="V30" s="41" t="n">
        <f aca="false">IF(V$4=Assumptions!$C$31,'Deal Structures'!$D$6*Assumptions!$C$30,0)+IF(V$4=Assumptions!$C$33,'Deal Structures'!$D$6*Assumptions!$C$32,0)</f>
        <v>0</v>
      </c>
      <c r="W30" s="41" t="n">
        <f aca="false">IF(W$4=Assumptions!$C$31,'Deal Structures'!$D$6*Assumptions!$C$30,0)+IF(W$4=Assumptions!$C$33,'Deal Structures'!$D$6*Assumptions!$C$32,0)</f>
        <v>0</v>
      </c>
      <c r="X30" s="41" t="n">
        <f aca="false">IF(X$4=Assumptions!$C$31,'Deal Structures'!$D$6*Assumptions!$C$30,0)+IF(X$4=Assumptions!$C$33,'Deal Structures'!$D$6*Assumptions!$C$32,0)</f>
        <v>0</v>
      </c>
      <c r="Y30" s="41" t="n">
        <f aca="false">IF(Y$4=Assumptions!$C$31,'Deal Structures'!$D$6*Assumptions!$C$30,0)+IF(Y$4=Assumptions!$C$33,'Deal Structures'!$D$6*Assumptions!$C$32,0)</f>
        <v>0</v>
      </c>
      <c r="Z30" s="41" t="n">
        <f aca="false">IF(Z$4=Assumptions!$C$31,'Deal Structures'!$D$6*Assumptions!$C$30,0)+IF(Z$4=Assumptions!$C$33,'Deal Structures'!$D$6*Assumptions!$C$32,0)</f>
        <v>0</v>
      </c>
      <c r="AA30" s="41" t="n">
        <f aca="false">IF(AA$4=Assumptions!$C$31,'Deal Structures'!$D$6*Assumptions!$C$30,0)+IF(AA$4=Assumptions!$C$33,'Deal Structures'!$D$6*Assumptions!$C$32,0)</f>
        <v>0</v>
      </c>
      <c r="AB30" s="41" t="n">
        <f aca="false">IF(AB$4=Assumptions!$C$31,'Deal Structures'!$D$6*Assumptions!$C$30,0)+IF(AB$4=Assumptions!$C$33,'Deal Structures'!$D$6*Assumptions!$C$32,0)</f>
        <v>0</v>
      </c>
    </row>
    <row r="31" customFormat="false" ht="15" hidden="false" customHeight="false" outlineLevel="0" collapsed="false">
      <c r="A31" s="14"/>
      <c r="B31" s="8"/>
      <c r="C31" s="9" t="s">
        <v>252</v>
      </c>
      <c r="D31" s="34" t="n">
        <f aca="false">SUM(E31:AB31)</f>
        <v>614107.104900297</v>
      </c>
      <c r="E31" s="41" t="n">
        <f aca="false">'Title Economics'!E104-E30</f>
        <v>-912093.771234824</v>
      </c>
      <c r="F31" s="41" t="n">
        <f aca="false">'Title Economics'!F104-F30</f>
        <v>190059.59561839</v>
      </c>
      <c r="G31" s="41" t="n">
        <f aca="false">'Title Economics'!G104-G30</f>
        <v>219170.133951459</v>
      </c>
      <c r="H31" s="41" t="n">
        <f aca="false">'Title Economics'!H104-H30</f>
        <v>205822.70349942</v>
      </c>
      <c r="I31" s="41" t="n">
        <f aca="false">'Title Economics'!I104-I30</f>
        <v>217677.328061325</v>
      </c>
      <c r="J31" s="41" t="n">
        <f aca="false">'Title Economics'!J104-J30</f>
        <v>191217.104794986</v>
      </c>
      <c r="K31" s="41" t="n">
        <f aca="false">'Title Economics'!K104-K30</f>
        <v>-581269.233148992</v>
      </c>
      <c r="L31" s="41" t="n">
        <f aca="false">'Title Economics'!L104-L30</f>
        <v>147596.357042484</v>
      </c>
      <c r="M31" s="41" t="n">
        <f aca="false">'Title Economics'!M104-M30</f>
        <v>129690.981467556</v>
      </c>
      <c r="N31" s="41" t="n">
        <f aca="false">'Title Economics'!N104-N30</f>
        <v>113967.994412418</v>
      </c>
      <c r="O31" s="41" t="n">
        <f aca="false">'Title Economics'!O104-O30</f>
        <v>100160.026936095</v>
      </c>
      <c r="P31" s="41" t="n">
        <f aca="false">'Title Economics'!P104-P30</f>
        <v>88032.6495224148</v>
      </c>
      <c r="Q31" s="41" t="n">
        <f aca="false">'Title Economics'!Q104-Q30</f>
        <v>77380.2893950074</v>
      </c>
      <c r="R31" s="41" t="n">
        <f aca="false">'Title Economics'!R104-R30</f>
        <v>68022.6571598398</v>
      </c>
      <c r="S31" s="41" t="n">
        <f aca="false">'Title Economics'!S104-S30</f>
        <v>59801.6187931349</v>
      </c>
      <c r="T31" s="41" t="n">
        <f aca="false">'Title Economics'!T104-T30</f>
        <v>52578.4570891905</v>
      </c>
      <c r="U31" s="41" t="n">
        <f aca="false">'Title Economics'!U104-U30</f>
        <v>46231.4737467618</v>
      </c>
      <c r="V31" s="41" t="n">
        <f aca="false">'Title Economics'!V104-V30</f>
        <v>40653.8894370407</v>
      </c>
      <c r="W31" s="41" t="n">
        <f aca="false">'Title Economics'!W104-W30</f>
        <v>35752.004576375</v>
      </c>
      <c r="X31" s="41" t="n">
        <f aca="false">'Title Economics'!X104-X30</f>
        <v>31443.5882232857</v>
      </c>
      <c r="Y31" s="41" t="n">
        <f aca="false">'Title Economics'!Y104-Y30</f>
        <v>27656.4666196279</v>
      </c>
      <c r="Z31" s="41" t="n">
        <f aca="false">'Title Economics'!Z104-Z30</f>
        <v>24327.2864761686</v>
      </c>
      <c r="AA31" s="41" t="n">
        <f aca="false">'Title Economics'!AA104-AA30</f>
        <v>21400.4312298345</v>
      </c>
      <c r="AB31" s="41" t="n">
        <f aca="false">'Title Economics'!AB104-AB30</f>
        <v>18827.071231296</v>
      </c>
    </row>
    <row r="32" customFormat="false" ht="15" hidden="false" customHeight="false" outlineLevel="0" collapsed="false">
      <c r="A32" s="14"/>
      <c r="B32" s="8"/>
      <c r="C32" s="9" t="s">
        <v>253</v>
      </c>
      <c r="D32" s="34" t="n">
        <f aca="false">SUM(E32:AB32)</f>
        <v>2008773.42338108</v>
      </c>
      <c r="E32" s="41" t="n">
        <f aca="false">SUM($E$31:E31)</f>
        <v>-912093.771234824</v>
      </c>
      <c r="F32" s="41" t="n">
        <f aca="false">SUM($E$31:F31)</f>
        <v>-722034.175616434</v>
      </c>
      <c r="G32" s="41" t="n">
        <f aca="false">SUM($E$31:G31)</f>
        <v>-502864.041664974</v>
      </c>
      <c r="H32" s="41" t="n">
        <f aca="false">SUM($E$31:H31)</f>
        <v>-297041.338165554</v>
      </c>
      <c r="I32" s="41" t="n">
        <f aca="false">SUM($E$31:I31)</f>
        <v>-79364.0101042291</v>
      </c>
      <c r="J32" s="41" t="n">
        <f aca="false">SUM($E$31:J31)</f>
        <v>111853.094690757</v>
      </c>
      <c r="K32" s="41" t="n">
        <f aca="false">SUM($E$31:K31)</f>
        <v>-469416.138458235</v>
      </c>
      <c r="L32" s="41" t="n">
        <f aca="false">SUM($E$31:L31)</f>
        <v>-321819.781415751</v>
      </c>
      <c r="M32" s="41" t="n">
        <f aca="false">SUM($E$31:M31)</f>
        <v>-192128.799948195</v>
      </c>
      <c r="N32" s="41" t="n">
        <f aca="false">SUM($E$31:N31)</f>
        <v>-78160.8055357762</v>
      </c>
      <c r="O32" s="41" t="n">
        <f aca="false">SUM($E$31:O31)</f>
        <v>21999.2214003191</v>
      </c>
      <c r="P32" s="41" t="n">
        <f aca="false">SUM($E$31:P31)</f>
        <v>110031.870922734</v>
      </c>
      <c r="Q32" s="41" t="n">
        <f aca="false">SUM($E$31:Q31)</f>
        <v>187412.160317741</v>
      </c>
      <c r="R32" s="41" t="n">
        <f aca="false">SUM($E$31:R31)</f>
        <v>255434.817477581</v>
      </c>
      <c r="S32" s="41" t="n">
        <f aca="false">SUM($E$31:S31)</f>
        <v>315236.436270716</v>
      </c>
      <c r="T32" s="41" t="n">
        <f aca="false">SUM($E$31:T31)</f>
        <v>367814.893359906</v>
      </c>
      <c r="U32" s="41" t="n">
        <f aca="false">SUM($E$31:U31)</f>
        <v>414046.367106668</v>
      </c>
      <c r="V32" s="41" t="n">
        <f aca="false">SUM($E$31:V31)</f>
        <v>454700.256543709</v>
      </c>
      <c r="W32" s="41" t="n">
        <f aca="false">SUM($E$31:W31)</f>
        <v>490452.261120084</v>
      </c>
      <c r="X32" s="41" t="n">
        <f aca="false">SUM($E$31:X31)</f>
        <v>521895.84934337</v>
      </c>
      <c r="Y32" s="41" t="n">
        <f aca="false">SUM($E$31:Y31)</f>
        <v>549552.315962998</v>
      </c>
      <c r="Z32" s="41" t="n">
        <f aca="false">SUM($E$31:Z31)</f>
        <v>573879.602439166</v>
      </c>
      <c r="AA32" s="41" t="n">
        <f aca="false">SUM($E$31:AA31)</f>
        <v>595280.033669001</v>
      </c>
      <c r="AB32" s="41" t="n">
        <f aca="false">SUM($E$31:AB31)</f>
        <v>614107.104900297</v>
      </c>
    </row>
    <row r="33" customFormat="false" ht="15" hidden="false" customHeight="false" outlineLevel="0" collapsed="false">
      <c r="A33" s="14"/>
      <c r="B33" s="8"/>
      <c r="C33" s="9" t="s">
        <v>254</v>
      </c>
      <c r="D33" s="27" t="n">
        <f aca="false">IFERROR(MATCH(1,E33:AB33,0),"n/a")</f>
        <v>11</v>
      </c>
      <c r="E33" s="40" t="n">
        <f aca="false">IF(MIN(E32:$AB$32)&gt;0,1,0)</f>
        <v>0</v>
      </c>
      <c r="F33" s="40" t="n">
        <f aca="false">IF(MIN(F32:$AB$32)&gt;0,1,0)</f>
        <v>0</v>
      </c>
      <c r="G33" s="40" t="n">
        <f aca="false">IF(MIN(G32:$AB$32)&gt;0,1,0)</f>
        <v>0</v>
      </c>
      <c r="H33" s="40" t="n">
        <f aca="false">IF(MIN(H32:$AB$32)&gt;0,1,0)</f>
        <v>0</v>
      </c>
      <c r="I33" s="40" t="n">
        <f aca="false">IF(MIN(I32:$AB$32)&gt;0,1,0)</f>
        <v>0</v>
      </c>
      <c r="J33" s="40" t="n">
        <f aca="false">IF(MIN(J32:$AB$32)&gt;0,1,0)</f>
        <v>0</v>
      </c>
      <c r="K33" s="40" t="n">
        <f aca="false">IF(MIN(K32:$AB$32)&gt;0,1,0)</f>
        <v>0</v>
      </c>
      <c r="L33" s="40" t="n">
        <f aca="false">IF(MIN(L32:$AB$32)&gt;0,1,0)</f>
        <v>0</v>
      </c>
      <c r="M33" s="40" t="n">
        <f aca="false">IF(MIN(M32:$AB$32)&gt;0,1,0)</f>
        <v>0</v>
      </c>
      <c r="N33" s="40" t="n">
        <f aca="false">IF(MIN(N32:$AB$32)&gt;0,1,0)</f>
        <v>0</v>
      </c>
      <c r="O33" s="40" t="n">
        <f aca="false">IF(MIN(O32:$AB$32)&gt;0,1,0)</f>
        <v>1</v>
      </c>
      <c r="P33" s="40" t="n">
        <f aca="false">IF(MIN(P32:$AB$32)&gt;0,1,0)</f>
        <v>1</v>
      </c>
      <c r="Q33" s="40" t="n">
        <f aca="false">IF(MIN(Q32:$AB$32)&gt;0,1,0)</f>
        <v>1</v>
      </c>
      <c r="R33" s="40" t="n">
        <f aca="false">IF(MIN(R32:$AB$32)&gt;0,1,0)</f>
        <v>1</v>
      </c>
      <c r="S33" s="40" t="n">
        <f aca="false">IF(MIN(S32:$AB$32)&gt;0,1,0)</f>
        <v>1</v>
      </c>
      <c r="T33" s="40" t="n">
        <f aca="false">IF(MIN(T32:$AB$32)&gt;0,1,0)</f>
        <v>1</v>
      </c>
      <c r="U33" s="40" t="n">
        <f aca="false">IF(MIN(U32:$AB$32)&gt;0,1,0)</f>
        <v>1</v>
      </c>
      <c r="V33" s="40" t="n">
        <f aca="false">IF(MIN(V32:$AB$32)&gt;0,1,0)</f>
        <v>1</v>
      </c>
      <c r="W33" s="40" t="n">
        <f aca="false">IF(MIN(W32:$AB$32)&gt;0,1,0)</f>
        <v>1</v>
      </c>
      <c r="X33" s="40" t="n">
        <f aca="false">IF(MIN(X32:$AB$32)&gt;0,1,0)</f>
        <v>1</v>
      </c>
      <c r="Y33" s="40" t="n">
        <f aca="false">IF(MIN(Y32:$AB$32)&gt;0,1,0)</f>
        <v>1</v>
      </c>
      <c r="Z33" s="40" t="n">
        <f aca="false">IF(MIN(Z32:$AB$32)&gt;0,1,0)</f>
        <v>1</v>
      </c>
      <c r="AA33" s="40" t="n">
        <f aca="false">IF(MIN(AA32:$AB$32)&gt;0,1,0)</f>
        <v>1</v>
      </c>
      <c r="AB33" s="40" t="n">
        <f aca="false">IF(MIN(AB32:$AB$32)&gt;0,1,0)</f>
        <v>1</v>
      </c>
    </row>
    <row r="35" customFormat="false" ht="15" hidden="false" customHeight="false" outlineLevel="0" collapsed="false">
      <c r="A35" s="14" t="s">
        <v>208</v>
      </c>
      <c r="B35" s="8" t="s">
        <v>255</v>
      </c>
      <c r="C35" s="9" t="s">
        <v>256</v>
      </c>
      <c r="D35" s="34" t="n">
        <f aca="false">SUM(E35:AB35)</f>
        <v>1351902.9577298</v>
      </c>
      <c r="E35" s="41" t="n">
        <f aca="false">'Monthly Viewing Forecast'!E79*Assumptions!$C$38</f>
        <v>173044.290555358</v>
      </c>
      <c r="F35" s="41" t="n">
        <f aca="false">'Monthly Viewing Forecast'!F79*Assumptions!$C$38</f>
        <v>151772.217367306</v>
      </c>
      <c r="G35" s="41" t="n">
        <f aca="false">'Monthly Viewing Forecast'!G79*Assumptions!$C$38</f>
        <v>133130.853335169</v>
      </c>
      <c r="H35" s="41" t="n">
        <f aca="false">'Monthly Viewing Forecast'!H79*Assumptions!$C$38</f>
        <v>116792.740907545</v>
      </c>
      <c r="I35" s="41" t="n">
        <f aca="false">'Monthly Viewing Forecast'!I79*Assumptions!$C$38</f>
        <v>102471.467434226</v>
      </c>
      <c r="J35" s="41" t="n">
        <f aca="false">'Monthly Viewing Forecast'!J79*Assumptions!$C$38</f>
        <v>89916.4822303795</v>
      </c>
      <c r="K35" s="41" t="n">
        <f aca="false">'Monthly Viewing Forecast'!K79*Assumptions!$C$38</f>
        <v>78908.573233024</v>
      </c>
      <c r="L35" s="41" t="n">
        <f aca="false">'Monthly Viewing Forecast'!L79*Assumptions!$C$38</f>
        <v>69255.9186240762</v>
      </c>
      <c r="M35" s="41" t="n">
        <f aca="false">'Monthly Viewing Forecast'!M79*Assumptions!$C$38</f>
        <v>60790.6397430825</v>
      </c>
      <c r="N35" s="41" t="n">
        <f aca="false">'Monthly Viewing Forecast'!N79*Assumptions!$C$38</f>
        <v>53365.7911328215</v>
      </c>
      <c r="O35" s="41" t="n">
        <f aca="false">'Monthly Viewing Forecast'!O79*Assumptions!$C$38</f>
        <v>46852.731840428</v>
      </c>
      <c r="P35" s="41" t="n">
        <f aca="false">'Monthly Viewing Forecast'!P79*Assumptions!$C$38</f>
        <v>41138.8292985503</v>
      </c>
      <c r="Q35" s="41" t="n">
        <f aca="false">'Monthly Viewing Forecast'!Q79*Assumptions!$C$38</f>
        <v>36125.4533768089</v>
      </c>
      <c r="R35" s="41" t="n">
        <f aca="false">'Monthly Viewing Forecast'!R79*Assumptions!$C$38</f>
        <v>31726.2236461796</v>
      </c>
      <c r="S35" s="41" t="n">
        <f aca="false">'Monthly Viewing Forecast'!S79*Assumptions!$C$38</f>
        <v>27865.4776443929</v>
      </c>
      <c r="T35" s="41" t="n">
        <f aca="false">'Monthly Viewing Forecast'!T79*Assumptions!$C$38</f>
        <v>24476.9320614466</v>
      </c>
      <c r="U35" s="41" t="n">
        <f aca="false">'Monthly Viewing Forecast'!U79*Assumptions!$C$38</f>
        <v>21502.5123611236</v>
      </c>
      <c r="V35" s="41" t="n">
        <f aca="false">'Monthly Viewing Forecast'!V79*Assumptions!$C$38</f>
        <v>18891.3294866563</v>
      </c>
      <c r="W35" s="41" t="n">
        <f aca="false">'Monthly Viewing Forecast'!W79*Assumptions!$C$38</f>
        <v>16598.7850269004</v>
      </c>
      <c r="X35" s="41" t="n">
        <f aca="false">'Monthly Viewing Forecast'!X79*Assumptions!$C$38</f>
        <v>14585.788596124</v>
      </c>
      <c r="Y35" s="41" t="n">
        <f aca="false">'Monthly Viewing Forecast'!Y79*Assumptions!$C$38</f>
        <v>12818.073251455</v>
      </c>
      <c r="Z35" s="41" t="n">
        <f aca="false">'Monthly Viewing Forecast'!Z79*Assumptions!$C$38</f>
        <v>11265.5965768353</v>
      </c>
      <c r="AA35" s="41" t="n">
        <f aca="false">'Monthly Viewing Forecast'!AA79*Assumptions!$C$38</f>
        <v>9902.01663549047</v>
      </c>
      <c r="AB35" s="41" t="n">
        <f aca="false">'Monthly Viewing Forecast'!AB79*Assumptions!$C$38</f>
        <v>8704.233364422</v>
      </c>
    </row>
    <row r="36" customFormat="false" ht="15" hidden="false" customHeight="false" outlineLevel="0" collapsed="false">
      <c r="A36" s="14"/>
      <c r="B36" s="8"/>
      <c r="C36" s="9" t="s">
        <v>257</v>
      </c>
      <c r="D36" s="34" t="n">
        <f aca="false">AB36</f>
        <v>1351902.9577298</v>
      </c>
      <c r="E36" s="41" t="n">
        <f aca="false">SUM($E$35:E35)</f>
        <v>173044.290555358</v>
      </c>
      <c r="F36" s="41" t="n">
        <f aca="false">SUM($E$35:F35)</f>
        <v>324816.507922664</v>
      </c>
      <c r="G36" s="41" t="n">
        <f aca="false">SUM($E$35:G35)</f>
        <v>457947.361257833</v>
      </c>
      <c r="H36" s="41" t="n">
        <f aca="false">SUM($E$35:H35)</f>
        <v>574740.102165378</v>
      </c>
      <c r="I36" s="41" t="n">
        <f aca="false">SUM($E$35:I35)</f>
        <v>677211.569599603</v>
      </c>
      <c r="J36" s="41" t="n">
        <f aca="false">SUM($E$35:J35)</f>
        <v>767128.051829983</v>
      </c>
      <c r="K36" s="41" t="n">
        <f aca="false">SUM($E$35:K35)</f>
        <v>846036.625063007</v>
      </c>
      <c r="L36" s="41" t="n">
        <f aca="false">SUM($E$35:L35)</f>
        <v>915292.543687083</v>
      </c>
      <c r="M36" s="41" t="n">
        <f aca="false">SUM($E$35:M35)</f>
        <v>976083.183430166</v>
      </c>
      <c r="N36" s="41" t="n">
        <f aca="false">SUM($E$35:N35)</f>
        <v>1029448.97456299</v>
      </c>
      <c r="O36" s="41" t="n">
        <f aca="false">SUM($E$35:O35)</f>
        <v>1076301.70640342</v>
      </c>
      <c r="P36" s="41" t="n">
        <f aca="false">SUM($E$35:P35)</f>
        <v>1117440.53570197</v>
      </c>
      <c r="Q36" s="41" t="n">
        <f aca="false">SUM($E$35:Q35)</f>
        <v>1153565.98907877</v>
      </c>
      <c r="R36" s="41" t="n">
        <f aca="false">SUM($E$35:R35)</f>
        <v>1185292.21272495</v>
      </c>
      <c r="S36" s="41" t="n">
        <f aca="false">SUM($E$35:S35)</f>
        <v>1213157.69036935</v>
      </c>
      <c r="T36" s="41" t="n">
        <f aca="false">SUM($E$35:T35)</f>
        <v>1237634.62243079</v>
      </c>
      <c r="U36" s="41" t="n">
        <f aca="false">SUM($E$35:U35)</f>
        <v>1259137.13479192</v>
      </c>
      <c r="V36" s="41" t="n">
        <f aca="false">SUM($E$35:V35)</f>
        <v>1278028.46427857</v>
      </c>
      <c r="W36" s="41" t="n">
        <f aca="false">SUM($E$35:W35)</f>
        <v>1294627.24930547</v>
      </c>
      <c r="X36" s="41" t="n">
        <f aca="false">SUM($E$35:X35)</f>
        <v>1309213.0379016</v>
      </c>
      <c r="Y36" s="41" t="n">
        <f aca="false">SUM($E$35:Y35)</f>
        <v>1322031.11115305</v>
      </c>
      <c r="Z36" s="41" t="n">
        <f aca="false">SUM($E$35:Z35)</f>
        <v>1333296.70772989</v>
      </c>
      <c r="AA36" s="41" t="n">
        <f aca="false">SUM($E$35:AA35)</f>
        <v>1343198.72436538</v>
      </c>
      <c r="AB36" s="41" t="n">
        <f aca="false">SUM($E$35:AB35)</f>
        <v>1351902.9577298</v>
      </c>
    </row>
    <row r="37" customFormat="false" ht="15" hidden="false" customHeight="false" outlineLevel="0" collapsed="false">
      <c r="A37" s="14"/>
      <c r="B37" s="8"/>
      <c r="C37" s="9" t="s">
        <v>258</v>
      </c>
      <c r="D37" s="34" t="n">
        <f aca="false">AB37</f>
        <v>1351902.9577298</v>
      </c>
      <c r="E37" s="41" t="n">
        <f aca="false">MAX(Assumptions!$C$37,E36)</f>
        <v>950000</v>
      </c>
      <c r="F37" s="41" t="n">
        <f aca="false">MAX(Assumptions!$C$37,F36)</f>
        <v>950000</v>
      </c>
      <c r="G37" s="41" t="n">
        <f aca="false">MAX(Assumptions!$C$37,G36)</f>
        <v>950000</v>
      </c>
      <c r="H37" s="41" t="n">
        <f aca="false">MAX(Assumptions!$C$37,H36)</f>
        <v>950000</v>
      </c>
      <c r="I37" s="41" t="n">
        <f aca="false">MAX(Assumptions!$C$37,I36)</f>
        <v>950000</v>
      </c>
      <c r="J37" s="41" t="n">
        <f aca="false">MAX(Assumptions!$C$37,J36)</f>
        <v>950000</v>
      </c>
      <c r="K37" s="41" t="n">
        <f aca="false">MAX(Assumptions!$C$37,K36)</f>
        <v>950000</v>
      </c>
      <c r="L37" s="41" t="n">
        <f aca="false">MAX(Assumptions!$C$37,L36)</f>
        <v>950000</v>
      </c>
      <c r="M37" s="41" t="n">
        <f aca="false">MAX(Assumptions!$C$37,M36)</f>
        <v>976083.183430166</v>
      </c>
      <c r="N37" s="41" t="n">
        <f aca="false">MAX(Assumptions!$C$37,N36)</f>
        <v>1029448.97456299</v>
      </c>
      <c r="O37" s="41" t="n">
        <f aca="false">MAX(Assumptions!$C$37,O36)</f>
        <v>1076301.70640342</v>
      </c>
      <c r="P37" s="41" t="n">
        <f aca="false">MAX(Assumptions!$C$37,P36)</f>
        <v>1117440.53570197</v>
      </c>
      <c r="Q37" s="41" t="n">
        <f aca="false">MAX(Assumptions!$C$37,Q36)</f>
        <v>1153565.98907877</v>
      </c>
      <c r="R37" s="41" t="n">
        <f aca="false">MAX(Assumptions!$C$37,R36)</f>
        <v>1185292.21272495</v>
      </c>
      <c r="S37" s="41" t="n">
        <f aca="false">MAX(Assumptions!$C$37,S36)</f>
        <v>1213157.69036935</v>
      </c>
      <c r="T37" s="41" t="n">
        <f aca="false">MAX(Assumptions!$C$37,T36)</f>
        <v>1237634.62243079</v>
      </c>
      <c r="U37" s="41" t="n">
        <f aca="false">MAX(Assumptions!$C$37,U36)</f>
        <v>1259137.13479192</v>
      </c>
      <c r="V37" s="41" t="n">
        <f aca="false">MAX(Assumptions!$C$37,V36)</f>
        <v>1278028.46427857</v>
      </c>
      <c r="W37" s="41" t="n">
        <f aca="false">MAX(Assumptions!$C$37,W36)</f>
        <v>1294627.24930547</v>
      </c>
      <c r="X37" s="41" t="n">
        <f aca="false">MAX(Assumptions!$C$37,X36)</f>
        <v>1309213.0379016</v>
      </c>
      <c r="Y37" s="41" t="n">
        <f aca="false">MAX(Assumptions!$C$37,Y36)</f>
        <v>1322031.11115305</v>
      </c>
      <c r="Z37" s="41" t="n">
        <f aca="false">MAX(Assumptions!$C$37,Z36)</f>
        <v>1333296.70772989</v>
      </c>
      <c r="AA37" s="41" t="n">
        <f aca="false">MAX(Assumptions!$C$37,AA36)</f>
        <v>1343198.72436538</v>
      </c>
      <c r="AB37" s="41" t="n">
        <f aca="false">MAX(Assumptions!$C$37,AB36)</f>
        <v>1351902.9577298</v>
      </c>
    </row>
    <row r="38" customFormat="false" ht="15" hidden="false" customHeight="false" outlineLevel="0" collapsed="false">
      <c r="A38" s="14"/>
      <c r="B38" s="8"/>
      <c r="C38" s="8" t="s">
        <v>251</v>
      </c>
      <c r="D38" s="34" t="n">
        <f aca="false">SUM(E38:AB38)</f>
        <v>1351902.9577298</v>
      </c>
      <c r="E38" s="41" t="n">
        <f aca="false">E37</f>
        <v>950000</v>
      </c>
      <c r="F38" s="41" t="n">
        <f aca="false">F37-E37</f>
        <v>0</v>
      </c>
      <c r="G38" s="41" t="n">
        <f aca="false">G37-F37</f>
        <v>0</v>
      </c>
      <c r="H38" s="41" t="n">
        <f aca="false">H37-G37</f>
        <v>0</v>
      </c>
      <c r="I38" s="41" t="n">
        <f aca="false">I37-H37</f>
        <v>0</v>
      </c>
      <c r="J38" s="41" t="n">
        <f aca="false">J37-I37</f>
        <v>0</v>
      </c>
      <c r="K38" s="41" t="n">
        <f aca="false">K37-J37</f>
        <v>0</v>
      </c>
      <c r="L38" s="41" t="n">
        <f aca="false">L37-K37</f>
        <v>0</v>
      </c>
      <c r="M38" s="41" t="n">
        <f aca="false">M37-L37</f>
        <v>26083.1834301655</v>
      </c>
      <c r="N38" s="41" t="n">
        <f aca="false">N37-M37</f>
        <v>53365.7911328215</v>
      </c>
      <c r="O38" s="41" t="n">
        <f aca="false">O37-N37</f>
        <v>46852.731840428</v>
      </c>
      <c r="P38" s="41" t="n">
        <f aca="false">P37-O37</f>
        <v>41138.8292985503</v>
      </c>
      <c r="Q38" s="41" t="n">
        <f aca="false">Q37-P37</f>
        <v>36125.4533768091</v>
      </c>
      <c r="R38" s="41" t="n">
        <f aca="false">R37-Q37</f>
        <v>31726.2236461793</v>
      </c>
      <c r="S38" s="41" t="n">
        <f aca="false">S37-R37</f>
        <v>27865.4776443932</v>
      </c>
      <c r="T38" s="41" t="n">
        <f aca="false">T37-S37</f>
        <v>24476.9320614464</v>
      </c>
      <c r="U38" s="41" t="n">
        <f aca="false">U37-T37</f>
        <v>21502.5123611235</v>
      </c>
      <c r="V38" s="41" t="n">
        <f aca="false">V37-U37</f>
        <v>18891.3294866565</v>
      </c>
      <c r="W38" s="41" t="n">
        <f aca="false">W37-V37</f>
        <v>16598.7850269005</v>
      </c>
      <c r="X38" s="41" t="n">
        <f aca="false">X37-W37</f>
        <v>14585.7885961239</v>
      </c>
      <c r="Y38" s="41" t="n">
        <f aca="false">Y37-X37</f>
        <v>12818.0732514549</v>
      </c>
      <c r="Z38" s="41" t="n">
        <f aca="false">Z37-Y37</f>
        <v>11265.5965768353</v>
      </c>
      <c r="AA38" s="41" t="n">
        <f aca="false">AA37-Z37</f>
        <v>9902.01663549058</v>
      </c>
      <c r="AB38" s="41" t="n">
        <f aca="false">AB37-AA37</f>
        <v>8704.23336442211</v>
      </c>
    </row>
    <row r="39" customFormat="false" ht="15" hidden="false" customHeight="false" outlineLevel="0" collapsed="false">
      <c r="A39" s="14"/>
      <c r="B39" s="8"/>
      <c r="C39" s="9" t="s">
        <v>252</v>
      </c>
      <c r="D39" s="34" t="n">
        <f aca="false">SUM(E39:AB39)</f>
        <v>760720.803027167</v>
      </c>
      <c r="E39" s="41" t="n">
        <f aca="false">'Title Economics'!E104-E38</f>
        <v>-1112835.44330649</v>
      </c>
      <c r="F39" s="41" t="n">
        <f aca="false">'Title Economics'!F104-F38</f>
        <v>190059.59561839</v>
      </c>
      <c r="G39" s="41" t="n">
        <f aca="false">'Title Economics'!G104-G38</f>
        <v>219170.133951459</v>
      </c>
      <c r="H39" s="41" t="n">
        <f aca="false">'Title Economics'!H104-H38</f>
        <v>205822.70349942</v>
      </c>
      <c r="I39" s="41" t="n">
        <f aca="false">'Title Economics'!I104-I38</f>
        <v>217677.328061325</v>
      </c>
      <c r="J39" s="41" t="n">
        <f aca="false">'Title Economics'!J104-J38</f>
        <v>191217.104794986</v>
      </c>
      <c r="K39" s="41" t="n">
        <f aca="false">'Title Economics'!K104-K38</f>
        <v>167989.094779343</v>
      </c>
      <c r="L39" s="41" t="n">
        <f aca="false">'Title Economics'!L104-L38</f>
        <v>147596.357042484</v>
      </c>
      <c r="M39" s="41" t="n">
        <f aca="false">'Title Economics'!M104-M38</f>
        <v>103607.798037391</v>
      </c>
      <c r="N39" s="41" t="n">
        <f aca="false">'Title Economics'!N104-N38</f>
        <v>60602.203279597</v>
      </c>
      <c r="O39" s="41" t="n">
        <f aca="false">'Title Economics'!O104-O38</f>
        <v>53307.2950956674</v>
      </c>
      <c r="P39" s="41" t="n">
        <f aca="false">'Title Economics'!P104-P38</f>
        <v>46893.8202238645</v>
      </c>
      <c r="Q39" s="41" t="n">
        <f aca="false">'Title Economics'!Q104-Q38</f>
        <v>41254.8360181982</v>
      </c>
      <c r="R39" s="41" t="n">
        <f aca="false">'Title Economics'!R104-R38</f>
        <v>36296.4335136605</v>
      </c>
      <c r="S39" s="41" t="n">
        <f aca="false">'Title Economics'!S104-S38</f>
        <v>31936.1411487417</v>
      </c>
      <c r="T39" s="41" t="n">
        <f aca="false">'Title Economics'!T104-T38</f>
        <v>28101.5250277441</v>
      </c>
      <c r="U39" s="41" t="n">
        <f aca="false">'Title Economics'!U104-U38</f>
        <v>24728.9613856384</v>
      </c>
      <c r="V39" s="41" t="n">
        <f aca="false">'Title Economics'!V104-V38</f>
        <v>21762.5599503842</v>
      </c>
      <c r="W39" s="41" t="n">
        <f aca="false">'Title Economics'!W104-W38</f>
        <v>19153.2195494746</v>
      </c>
      <c r="X39" s="41" t="n">
        <f aca="false">'Title Economics'!X104-X38</f>
        <v>16857.7996271618</v>
      </c>
      <c r="Y39" s="41" t="n">
        <f aca="false">'Title Economics'!Y104-Y38</f>
        <v>14838.393368173</v>
      </c>
      <c r="Z39" s="41" t="n">
        <f aca="false">'Title Economics'!Z104-Z38</f>
        <v>13061.6898993334</v>
      </c>
      <c r="AA39" s="41" t="n">
        <f aca="false">'Title Economics'!AA104-AA38</f>
        <v>11498.4145943439</v>
      </c>
      <c r="AB39" s="41" t="n">
        <f aca="false">'Title Economics'!AB104-AB38</f>
        <v>10122.8378668739</v>
      </c>
    </row>
    <row r="40" customFormat="false" ht="15" hidden="false" customHeight="false" outlineLevel="0" collapsed="false">
      <c r="A40" s="14"/>
      <c r="B40" s="8"/>
      <c r="C40" s="9" t="s">
        <v>253</v>
      </c>
      <c r="D40" s="34" t="n">
        <f aca="false">SUM(E40:AB40)</f>
        <v>6397262.89441307</v>
      </c>
      <c r="E40" s="41" t="n">
        <f aca="false">SUM($E$39:E39)</f>
        <v>-1112835.44330649</v>
      </c>
      <c r="F40" s="41" t="n">
        <f aca="false">SUM($E$39:F39)</f>
        <v>-922775.847688098</v>
      </c>
      <c r="G40" s="41" t="n">
        <f aca="false">SUM($E$39:G39)</f>
        <v>-703605.713736639</v>
      </c>
      <c r="H40" s="41" t="n">
        <f aca="false">SUM($E$39:H39)</f>
        <v>-497783.010237219</v>
      </c>
      <c r="I40" s="41" t="n">
        <f aca="false">SUM($E$39:I39)</f>
        <v>-280105.682175894</v>
      </c>
      <c r="J40" s="41" t="n">
        <f aca="false">SUM($E$39:J39)</f>
        <v>-88888.5773809083</v>
      </c>
      <c r="K40" s="41" t="n">
        <f aca="false">SUM($E$39:K39)</f>
        <v>79100.5173984351</v>
      </c>
      <c r="L40" s="41" t="n">
        <f aca="false">SUM($E$39:L39)</f>
        <v>226696.874440919</v>
      </c>
      <c r="M40" s="41" t="n">
        <f aca="false">SUM($E$39:M39)</f>
        <v>330304.67247831</v>
      </c>
      <c r="N40" s="41" t="n">
        <f aca="false">SUM($E$39:N39)</f>
        <v>390906.875757907</v>
      </c>
      <c r="O40" s="41" t="n">
        <f aca="false">SUM($E$39:O39)</f>
        <v>444214.170853574</v>
      </c>
      <c r="P40" s="41" t="n">
        <f aca="false">SUM($E$39:P39)</f>
        <v>491107.991077439</v>
      </c>
      <c r="Q40" s="41" t="n">
        <f aca="false">SUM($E$39:Q39)</f>
        <v>532362.827095637</v>
      </c>
      <c r="R40" s="41" t="n">
        <f aca="false">SUM($E$39:R39)</f>
        <v>568659.260609298</v>
      </c>
      <c r="S40" s="41" t="n">
        <f aca="false">SUM($E$39:S39)</f>
        <v>600595.401758039</v>
      </c>
      <c r="T40" s="41" t="n">
        <f aca="false">SUM($E$39:T39)</f>
        <v>628696.926785783</v>
      </c>
      <c r="U40" s="41" t="n">
        <f aca="false">SUM($E$39:U39)</f>
        <v>653425.888171422</v>
      </c>
      <c r="V40" s="41" t="n">
        <f aca="false">SUM($E$39:V39)</f>
        <v>675188.448121806</v>
      </c>
      <c r="W40" s="41" t="n">
        <f aca="false">SUM($E$39:W39)</f>
        <v>694341.667671281</v>
      </c>
      <c r="X40" s="41" t="n">
        <f aca="false">SUM($E$39:X39)</f>
        <v>711199.467298442</v>
      </c>
      <c r="Y40" s="41" t="n">
        <f aca="false">SUM($E$39:Y39)</f>
        <v>726037.860666615</v>
      </c>
      <c r="Z40" s="41" t="n">
        <f aca="false">SUM($E$39:Z39)</f>
        <v>739099.550565949</v>
      </c>
      <c r="AA40" s="41" t="n">
        <f aca="false">SUM($E$39:AA39)</f>
        <v>750597.965160293</v>
      </c>
      <c r="AB40" s="41" t="n">
        <f aca="false">SUM($E$39:AB39)</f>
        <v>760720.803027167</v>
      </c>
    </row>
    <row r="41" customFormat="false" ht="15" hidden="false" customHeight="false" outlineLevel="0" collapsed="false">
      <c r="A41" s="14"/>
      <c r="B41" s="8"/>
      <c r="C41" s="9" t="s">
        <v>254</v>
      </c>
      <c r="D41" s="27" t="n">
        <f aca="false">IFERROR(MATCH(1,E41:AB41,0),"n/a")</f>
        <v>7</v>
      </c>
      <c r="E41" s="40" t="n">
        <f aca="false">IF(MIN(E40:$AB$40)&gt;0,1,0)</f>
        <v>0</v>
      </c>
      <c r="F41" s="40" t="n">
        <f aca="false">IF(MIN(F40:$AB$40)&gt;0,1,0)</f>
        <v>0</v>
      </c>
      <c r="G41" s="40" t="n">
        <f aca="false">IF(MIN(G40:$AB$40)&gt;0,1,0)</f>
        <v>0</v>
      </c>
      <c r="H41" s="40" t="n">
        <f aca="false">IF(MIN(H40:$AB$40)&gt;0,1,0)</f>
        <v>0</v>
      </c>
      <c r="I41" s="40" t="n">
        <f aca="false">IF(MIN(I40:$AB$40)&gt;0,1,0)</f>
        <v>0</v>
      </c>
      <c r="J41" s="40" t="n">
        <f aca="false">IF(MIN(J40:$AB$40)&gt;0,1,0)</f>
        <v>0</v>
      </c>
      <c r="K41" s="40" t="n">
        <f aca="false">IF(MIN(K40:$AB$40)&gt;0,1,0)</f>
        <v>1</v>
      </c>
      <c r="L41" s="40" t="n">
        <f aca="false">IF(MIN(L40:$AB$40)&gt;0,1,0)</f>
        <v>1</v>
      </c>
      <c r="M41" s="40" t="n">
        <f aca="false">IF(MIN(M40:$AB$40)&gt;0,1,0)</f>
        <v>1</v>
      </c>
      <c r="N41" s="40" t="n">
        <f aca="false">IF(MIN(N40:$AB$40)&gt;0,1,0)</f>
        <v>1</v>
      </c>
      <c r="O41" s="40" t="n">
        <f aca="false">IF(MIN(O40:$AB$40)&gt;0,1,0)</f>
        <v>1</v>
      </c>
      <c r="P41" s="40" t="n">
        <f aca="false">IF(MIN(P40:$AB$40)&gt;0,1,0)</f>
        <v>1</v>
      </c>
      <c r="Q41" s="40" t="n">
        <f aca="false">IF(MIN(Q40:$AB$40)&gt;0,1,0)</f>
        <v>1</v>
      </c>
      <c r="R41" s="40" t="n">
        <f aca="false">IF(MIN(R40:$AB$40)&gt;0,1,0)</f>
        <v>1</v>
      </c>
      <c r="S41" s="40" t="n">
        <f aca="false">IF(MIN(S40:$AB$40)&gt;0,1,0)</f>
        <v>1</v>
      </c>
      <c r="T41" s="40" t="n">
        <f aca="false">IF(MIN(T40:$AB$40)&gt;0,1,0)</f>
        <v>1</v>
      </c>
      <c r="U41" s="40" t="n">
        <f aca="false">IF(MIN(U40:$AB$40)&gt;0,1,0)</f>
        <v>1</v>
      </c>
      <c r="V41" s="40" t="n">
        <f aca="false">IF(MIN(V40:$AB$40)&gt;0,1,0)</f>
        <v>1</v>
      </c>
      <c r="W41" s="40" t="n">
        <f aca="false">IF(MIN(W40:$AB$40)&gt;0,1,0)</f>
        <v>1</v>
      </c>
      <c r="X41" s="40" t="n">
        <f aca="false">IF(MIN(X40:$AB$40)&gt;0,1,0)</f>
        <v>1</v>
      </c>
      <c r="Y41" s="40" t="n">
        <f aca="false">IF(MIN(Y40:$AB$40)&gt;0,1,0)</f>
        <v>1</v>
      </c>
      <c r="Z41" s="40" t="n">
        <f aca="false">IF(MIN(Z40:$AB$40)&gt;0,1,0)</f>
        <v>1</v>
      </c>
      <c r="AA41" s="40" t="n">
        <f aca="false">IF(MIN(AA40:$AB$40)&gt;0,1,0)</f>
        <v>1</v>
      </c>
      <c r="AB41" s="40" t="n">
        <f aca="false">IF(MIN(AB40:$AB$40)&gt;0,1,0)</f>
        <v>1</v>
      </c>
    </row>
    <row r="43" customFormat="false" ht="15" hidden="false" customHeight="false" outlineLevel="0" collapsed="false">
      <c r="A43" s="14" t="s">
        <v>208</v>
      </c>
      <c r="B43" s="8" t="s">
        <v>259</v>
      </c>
      <c r="C43" s="9" t="s">
        <v>205</v>
      </c>
      <c r="D43" s="27" t="n">
        <f aca="false">AB43</f>
        <v>15970795.3333333</v>
      </c>
      <c r="E43" s="40" t="n">
        <f aca="false">'Monthly Viewing Forecast'!E80</f>
        <v>2060369.4902252</v>
      </c>
      <c r="F43" s="40" t="n">
        <f aca="false">'Monthly Viewing Forecast'!F80</f>
        <v>3864961.46424832</v>
      </c>
      <c r="G43" s="40" t="n">
        <f aca="false">'Monthly Viewing Forecast'!G80</f>
        <v>5445744.70228279</v>
      </c>
      <c r="H43" s="40" t="n">
        <f aca="false">'Monthly Viewing Forecast'!H80</f>
        <v>6830663.29130593</v>
      </c>
      <c r="I43" s="40" t="n">
        <f aca="false">'Monthly Viewing Forecast'!I80</f>
        <v>8044147.20308492</v>
      </c>
      <c r="J43" s="40" t="n">
        <f aca="false">'Monthly Viewing Forecast'!J80</f>
        <v>9107557.5787819</v>
      </c>
      <c r="K43" s="40" t="n">
        <f aca="false">'Monthly Viewing Forecast'!K80</f>
        <v>10039575.1394945</v>
      </c>
      <c r="L43" s="40" t="n">
        <f aca="false">'Monthly Viewing Forecast'!L80</f>
        <v>10856539.04718</v>
      </c>
      <c r="M43" s="40" t="n">
        <f aca="false">'Monthly Viewing Forecast'!M80</f>
        <v>11572742.5891215</v>
      </c>
      <c r="N43" s="40" t="n">
        <f aca="false">'Monthly Viewing Forecast'!N80</f>
        <v>12200691.2324251</v>
      </c>
      <c r="O43" s="40" t="n">
        <f aca="false">'Monthly Viewing Forecast'!O80</f>
        <v>12751327.8765136</v>
      </c>
      <c r="P43" s="40" t="n">
        <f aca="false">'Monthly Viewing Forecast'!P80</f>
        <v>13234229.5069466</v>
      </c>
      <c r="Q43" s="40" t="n">
        <f aca="false">'Monthly Viewing Forecast'!Q80</f>
        <v>13657778.9107618</v>
      </c>
      <c r="R43" s="40" t="n">
        <f aca="false">'Monthly Viewing Forecast'!R80</f>
        <v>14029314.6411838</v>
      </c>
      <c r="S43" s="40" t="n">
        <f aca="false">'Monthly Viewing Forecast'!S80</f>
        <v>14355262.00867</v>
      </c>
      <c r="T43" s="40" t="n">
        <f aca="false">'Monthly Viewing Forecast'!T80</f>
        <v>14641247.5177958</v>
      </c>
      <c r="U43" s="40" t="n">
        <f aca="false">'Monthly Viewing Forecast'!U80</f>
        <v>14892198.8584196</v>
      </c>
      <c r="V43" s="40" t="n">
        <f aca="false">'Monthly Viewing Forecast'!V80</f>
        <v>15112432.2888323</v>
      </c>
      <c r="W43" s="40" t="n">
        <f aca="false">'Monthly Viewing Forecast'!W80</f>
        <v>15305729.012918</v>
      </c>
      <c r="X43" s="40" t="n">
        <f aca="false">'Monthly Viewing Forecast'!X80</f>
        <v>15475401.9481531</v>
      </c>
      <c r="Y43" s="40" t="n">
        <f aca="false">'Monthly Viewing Forecast'!Y80</f>
        <v>15624354.1025711</v>
      </c>
      <c r="Z43" s="40" t="n">
        <f aca="false">'Monthly Viewing Forecast'!Z80</f>
        <v>15755129.6231748</v>
      </c>
      <c r="AA43" s="40" t="n">
        <f aca="false">'Monthly Viewing Forecast'!AA80</f>
        <v>15869958.4426808</v>
      </c>
      <c r="AB43" s="40" t="n">
        <f aca="false">'Monthly Viewing Forecast'!AB80</f>
        <v>15970795.3333333</v>
      </c>
    </row>
    <row r="44" customFormat="false" ht="15" hidden="false" customHeight="false" outlineLevel="0" collapsed="false">
      <c r="A44" s="14"/>
      <c r="B44" s="8"/>
      <c r="C44" s="8" t="s">
        <v>251</v>
      </c>
      <c r="D44" s="34" t="n">
        <f aca="false">SUM(E44:AB44)</f>
        <v>1350000</v>
      </c>
      <c r="E44" s="41" t="n">
        <f aca="false">IF(E$4=1,Assumptions!$C$41,0)+IF(E$4=12,IF(E43&gt;=Assumptions!$C$43,Assumptions!$C$42,0),0)+IF(E$4=18,IF(E43&gt;=Assumptions!$C$45,Assumptions!$C$44,0),0)+IF(E$4=24,IF(E43&gt;=Assumptions!$C$47,Assumptions!$C$46,0),0)</f>
        <v>850000</v>
      </c>
      <c r="F44" s="41" t="n">
        <f aca="false">IF(F$4=1,Assumptions!$C$41,0)+IF(F$4=12,IF(F43&gt;=Assumptions!$C$43,Assumptions!$C$42,0),0)+IF(F$4=18,IF(F43&gt;=Assumptions!$C$45,Assumptions!$C$44,0),0)+IF(F$4=24,IF(F43&gt;=Assumptions!$C$47,Assumptions!$C$46,0),0)</f>
        <v>0</v>
      </c>
      <c r="G44" s="41" t="n">
        <f aca="false">IF(G$4=1,Assumptions!$C$41,0)+IF(G$4=12,IF(G43&gt;=Assumptions!$C$43,Assumptions!$C$42,0),0)+IF(G$4=18,IF(G43&gt;=Assumptions!$C$45,Assumptions!$C$44,0),0)+IF(G$4=24,IF(G43&gt;=Assumptions!$C$47,Assumptions!$C$46,0),0)</f>
        <v>0</v>
      </c>
      <c r="H44" s="41" t="n">
        <f aca="false">IF(H$4=1,Assumptions!$C$41,0)+IF(H$4=12,IF(H43&gt;=Assumptions!$C$43,Assumptions!$C$42,0),0)+IF(H$4=18,IF(H43&gt;=Assumptions!$C$45,Assumptions!$C$44,0),0)+IF(H$4=24,IF(H43&gt;=Assumptions!$C$47,Assumptions!$C$46,0),0)</f>
        <v>0</v>
      </c>
      <c r="I44" s="41" t="n">
        <f aca="false">IF(I$4=1,Assumptions!$C$41,0)+IF(I$4=12,IF(I43&gt;=Assumptions!$C$43,Assumptions!$C$42,0),0)+IF(I$4=18,IF(I43&gt;=Assumptions!$C$45,Assumptions!$C$44,0),0)+IF(I$4=24,IF(I43&gt;=Assumptions!$C$47,Assumptions!$C$46,0),0)</f>
        <v>0</v>
      </c>
      <c r="J44" s="41" t="n">
        <f aca="false">IF(J$4=1,Assumptions!$C$41,0)+IF(J$4=12,IF(J43&gt;=Assumptions!$C$43,Assumptions!$C$42,0),0)+IF(J$4=18,IF(J43&gt;=Assumptions!$C$45,Assumptions!$C$44,0),0)+IF(J$4=24,IF(J43&gt;=Assumptions!$C$47,Assumptions!$C$46,0),0)</f>
        <v>0</v>
      </c>
      <c r="K44" s="41" t="n">
        <f aca="false">IF(K$4=1,Assumptions!$C$41,0)+IF(K$4=12,IF(K43&gt;=Assumptions!$C$43,Assumptions!$C$42,0),0)+IF(K$4=18,IF(K43&gt;=Assumptions!$C$45,Assumptions!$C$44,0),0)+IF(K$4=24,IF(K43&gt;=Assumptions!$C$47,Assumptions!$C$46,0),0)</f>
        <v>0</v>
      </c>
      <c r="L44" s="41" t="n">
        <f aca="false">IF(L$4=1,Assumptions!$C$41,0)+IF(L$4=12,IF(L43&gt;=Assumptions!$C$43,Assumptions!$C$42,0),0)+IF(L$4=18,IF(L43&gt;=Assumptions!$C$45,Assumptions!$C$44,0),0)+IF(L$4=24,IF(L43&gt;=Assumptions!$C$47,Assumptions!$C$46,0),0)</f>
        <v>0</v>
      </c>
      <c r="M44" s="41" t="n">
        <f aca="false">IF(M$4=1,Assumptions!$C$41,0)+IF(M$4=12,IF(M43&gt;=Assumptions!$C$43,Assumptions!$C$42,0),0)+IF(M$4=18,IF(M43&gt;=Assumptions!$C$45,Assumptions!$C$44,0),0)+IF(M$4=24,IF(M43&gt;=Assumptions!$C$47,Assumptions!$C$46,0),0)</f>
        <v>0</v>
      </c>
      <c r="N44" s="41" t="n">
        <f aca="false">IF(N$4=1,Assumptions!$C$41,0)+IF(N$4=12,IF(N43&gt;=Assumptions!$C$43,Assumptions!$C$42,0),0)+IF(N$4=18,IF(N43&gt;=Assumptions!$C$45,Assumptions!$C$44,0),0)+IF(N$4=24,IF(N43&gt;=Assumptions!$C$47,Assumptions!$C$46,0),0)</f>
        <v>0</v>
      </c>
      <c r="O44" s="41" t="n">
        <f aca="false">IF(O$4=1,Assumptions!$C$41,0)+IF(O$4=12,IF(O43&gt;=Assumptions!$C$43,Assumptions!$C$42,0),0)+IF(O$4=18,IF(O43&gt;=Assumptions!$C$45,Assumptions!$C$44,0),0)+IF(O$4=24,IF(O43&gt;=Assumptions!$C$47,Assumptions!$C$46,0),0)</f>
        <v>0</v>
      </c>
      <c r="P44" s="41" t="n">
        <f aca="false">IF(P$4=1,Assumptions!$C$41,0)+IF(P$4=12,IF(P43&gt;=Assumptions!$C$43,Assumptions!$C$42,0),0)+IF(P$4=18,IF(P43&gt;=Assumptions!$C$45,Assumptions!$C$44,0),0)+IF(P$4=24,IF(P43&gt;=Assumptions!$C$47,Assumptions!$C$46,0),0)</f>
        <v>250000</v>
      </c>
      <c r="Q44" s="41" t="n">
        <f aca="false">IF(Q$4=1,Assumptions!$C$41,0)+IF(Q$4=12,IF(Q43&gt;=Assumptions!$C$43,Assumptions!$C$42,0),0)+IF(Q$4=18,IF(Q43&gt;=Assumptions!$C$45,Assumptions!$C$44,0),0)+IF(Q$4=24,IF(Q43&gt;=Assumptions!$C$47,Assumptions!$C$46,0),0)</f>
        <v>0</v>
      </c>
      <c r="R44" s="41" t="n">
        <f aca="false">IF(R$4=1,Assumptions!$C$41,0)+IF(R$4=12,IF(R43&gt;=Assumptions!$C$43,Assumptions!$C$42,0),0)+IF(R$4=18,IF(R43&gt;=Assumptions!$C$45,Assumptions!$C$44,0),0)+IF(R$4=24,IF(R43&gt;=Assumptions!$C$47,Assumptions!$C$46,0),0)</f>
        <v>0</v>
      </c>
      <c r="S44" s="41" t="n">
        <f aca="false">IF(S$4=1,Assumptions!$C$41,0)+IF(S$4=12,IF(S43&gt;=Assumptions!$C$43,Assumptions!$C$42,0),0)+IF(S$4=18,IF(S43&gt;=Assumptions!$C$45,Assumptions!$C$44,0),0)+IF(S$4=24,IF(S43&gt;=Assumptions!$C$47,Assumptions!$C$46,0),0)</f>
        <v>0</v>
      </c>
      <c r="T44" s="41" t="n">
        <f aca="false">IF(T$4=1,Assumptions!$C$41,0)+IF(T$4=12,IF(T43&gt;=Assumptions!$C$43,Assumptions!$C$42,0),0)+IF(T$4=18,IF(T43&gt;=Assumptions!$C$45,Assumptions!$C$44,0),0)+IF(T$4=24,IF(T43&gt;=Assumptions!$C$47,Assumptions!$C$46,0),0)</f>
        <v>0</v>
      </c>
      <c r="U44" s="41" t="n">
        <f aca="false">IF(U$4=1,Assumptions!$C$41,0)+IF(U$4=12,IF(U43&gt;=Assumptions!$C$43,Assumptions!$C$42,0),0)+IF(U$4=18,IF(U43&gt;=Assumptions!$C$45,Assumptions!$C$44,0),0)+IF(U$4=24,IF(U43&gt;=Assumptions!$C$47,Assumptions!$C$46,0),0)</f>
        <v>0</v>
      </c>
      <c r="V44" s="41" t="n">
        <f aca="false">IF(V$4=1,Assumptions!$C$41,0)+IF(V$4=12,IF(V43&gt;=Assumptions!$C$43,Assumptions!$C$42,0),0)+IF(V$4=18,IF(V43&gt;=Assumptions!$C$45,Assumptions!$C$44,0),0)+IF(V$4=24,IF(V43&gt;=Assumptions!$C$47,Assumptions!$C$46,0),0)</f>
        <v>250000</v>
      </c>
      <c r="W44" s="41" t="n">
        <f aca="false">IF(W$4=1,Assumptions!$C$41,0)+IF(W$4=12,IF(W43&gt;=Assumptions!$C$43,Assumptions!$C$42,0),0)+IF(W$4=18,IF(W43&gt;=Assumptions!$C$45,Assumptions!$C$44,0),0)+IF(W$4=24,IF(W43&gt;=Assumptions!$C$47,Assumptions!$C$46,0),0)</f>
        <v>0</v>
      </c>
      <c r="X44" s="41" t="n">
        <f aca="false">IF(X$4=1,Assumptions!$C$41,0)+IF(X$4=12,IF(X43&gt;=Assumptions!$C$43,Assumptions!$C$42,0),0)+IF(X$4=18,IF(X43&gt;=Assumptions!$C$45,Assumptions!$C$44,0),0)+IF(X$4=24,IF(X43&gt;=Assumptions!$C$47,Assumptions!$C$46,0),0)</f>
        <v>0</v>
      </c>
      <c r="Y44" s="41" t="n">
        <f aca="false">IF(Y$4=1,Assumptions!$C$41,0)+IF(Y$4=12,IF(Y43&gt;=Assumptions!$C$43,Assumptions!$C$42,0),0)+IF(Y$4=18,IF(Y43&gt;=Assumptions!$C$45,Assumptions!$C$44,0),0)+IF(Y$4=24,IF(Y43&gt;=Assumptions!$C$47,Assumptions!$C$46,0),0)</f>
        <v>0</v>
      </c>
      <c r="Z44" s="41" t="n">
        <f aca="false">IF(Z$4=1,Assumptions!$C$41,0)+IF(Z$4=12,IF(Z43&gt;=Assumptions!$C$43,Assumptions!$C$42,0),0)+IF(Z$4=18,IF(Z43&gt;=Assumptions!$C$45,Assumptions!$C$44,0),0)+IF(Z$4=24,IF(Z43&gt;=Assumptions!$C$47,Assumptions!$C$46,0),0)</f>
        <v>0</v>
      </c>
      <c r="AA44" s="41" t="n">
        <f aca="false">IF(AA$4=1,Assumptions!$C$41,0)+IF(AA$4=12,IF(AA43&gt;=Assumptions!$C$43,Assumptions!$C$42,0),0)+IF(AA$4=18,IF(AA43&gt;=Assumptions!$C$45,Assumptions!$C$44,0),0)+IF(AA$4=24,IF(AA43&gt;=Assumptions!$C$47,Assumptions!$C$46,0),0)</f>
        <v>0</v>
      </c>
      <c r="AB44" s="41" t="n">
        <f aca="false">IF(AB$4=1,Assumptions!$C$41,0)+IF(AB$4=12,IF(AB43&gt;=Assumptions!$C$43,Assumptions!$C$42,0),0)+IF(AB$4=18,IF(AB43&gt;=Assumptions!$C$45,Assumptions!$C$44,0),0)+IF(AB$4=24,IF(AB43&gt;=Assumptions!$C$47,Assumptions!$C$46,0),0)</f>
        <v>0</v>
      </c>
    </row>
    <row r="45" customFormat="false" ht="15" hidden="false" customHeight="false" outlineLevel="0" collapsed="false">
      <c r="A45" s="14"/>
      <c r="B45" s="8"/>
      <c r="C45" s="9" t="s">
        <v>252</v>
      </c>
      <c r="D45" s="34" t="n">
        <f aca="false">SUM(E45:AB45)</f>
        <v>762623.760756967</v>
      </c>
      <c r="E45" s="41" t="n">
        <f aca="false">'Title Economics'!E104-E44</f>
        <v>-1012835.44330649</v>
      </c>
      <c r="F45" s="41" t="n">
        <f aca="false">'Title Economics'!F104-F44</f>
        <v>190059.59561839</v>
      </c>
      <c r="G45" s="41" t="n">
        <f aca="false">'Title Economics'!G104-G44</f>
        <v>219170.133951459</v>
      </c>
      <c r="H45" s="41" t="n">
        <f aca="false">'Title Economics'!H104-H44</f>
        <v>205822.70349942</v>
      </c>
      <c r="I45" s="41" t="n">
        <f aca="false">'Title Economics'!I104-I44</f>
        <v>217677.328061325</v>
      </c>
      <c r="J45" s="41" t="n">
        <f aca="false">'Title Economics'!J104-J44</f>
        <v>191217.104794986</v>
      </c>
      <c r="K45" s="41" t="n">
        <f aca="false">'Title Economics'!K104-K44</f>
        <v>167989.094779343</v>
      </c>
      <c r="L45" s="41" t="n">
        <f aca="false">'Title Economics'!L104-L44</f>
        <v>147596.357042484</v>
      </c>
      <c r="M45" s="41" t="n">
        <f aca="false">'Title Economics'!M104-M44</f>
        <v>129690.981467556</v>
      </c>
      <c r="N45" s="41" t="n">
        <f aca="false">'Title Economics'!N104-N44</f>
        <v>113967.994412418</v>
      </c>
      <c r="O45" s="41" t="n">
        <f aca="false">'Title Economics'!O104-O44</f>
        <v>100160.026936095</v>
      </c>
      <c r="P45" s="41" t="n">
        <f aca="false">'Title Economics'!P104-P44</f>
        <v>-161967.350477585</v>
      </c>
      <c r="Q45" s="41" t="n">
        <f aca="false">'Title Economics'!Q104-Q44</f>
        <v>77380.2893950074</v>
      </c>
      <c r="R45" s="41" t="n">
        <f aca="false">'Title Economics'!R104-R44</f>
        <v>68022.6571598398</v>
      </c>
      <c r="S45" s="41" t="n">
        <f aca="false">'Title Economics'!S104-S44</f>
        <v>59801.6187931349</v>
      </c>
      <c r="T45" s="41" t="n">
        <f aca="false">'Title Economics'!T104-T44</f>
        <v>52578.4570891905</v>
      </c>
      <c r="U45" s="41" t="n">
        <f aca="false">'Title Economics'!U104-U44</f>
        <v>46231.4737467618</v>
      </c>
      <c r="V45" s="41" t="n">
        <f aca="false">'Title Economics'!V104-V44</f>
        <v>-209346.110562959</v>
      </c>
      <c r="W45" s="41" t="n">
        <f aca="false">'Title Economics'!W104-W44</f>
        <v>35752.004576375</v>
      </c>
      <c r="X45" s="41" t="n">
        <f aca="false">'Title Economics'!X104-X44</f>
        <v>31443.5882232857</v>
      </c>
      <c r="Y45" s="41" t="n">
        <f aca="false">'Title Economics'!Y104-Y44</f>
        <v>27656.4666196279</v>
      </c>
      <c r="Z45" s="41" t="n">
        <f aca="false">'Title Economics'!Z104-Z44</f>
        <v>24327.2864761686</v>
      </c>
      <c r="AA45" s="41" t="n">
        <f aca="false">'Title Economics'!AA104-AA44</f>
        <v>21400.4312298345</v>
      </c>
      <c r="AB45" s="41" t="n">
        <f aca="false">'Title Economics'!AB104-AB44</f>
        <v>18827.071231296</v>
      </c>
    </row>
    <row r="46" customFormat="false" ht="15" hidden="false" customHeight="false" outlineLevel="0" collapsed="false">
      <c r="A46" s="14"/>
      <c r="B46" s="8"/>
      <c r="C46" s="9" t="s">
        <v>253</v>
      </c>
      <c r="D46" s="34" t="n">
        <f aca="false">SUM(E46:AB46)</f>
        <v>8077623.19637115</v>
      </c>
      <c r="E46" s="41" t="n">
        <f aca="false">SUM($E$45:E45)</f>
        <v>-1012835.44330649</v>
      </c>
      <c r="F46" s="41" t="n">
        <f aca="false">SUM($E$45:F45)</f>
        <v>-822775.847688098</v>
      </c>
      <c r="G46" s="41" t="n">
        <f aca="false">SUM($E$45:G45)</f>
        <v>-603605.713736639</v>
      </c>
      <c r="H46" s="41" t="n">
        <f aca="false">SUM($E$45:H45)</f>
        <v>-397783.010237219</v>
      </c>
      <c r="I46" s="41" t="n">
        <f aca="false">SUM($E$45:I45)</f>
        <v>-180105.682175894</v>
      </c>
      <c r="J46" s="41" t="n">
        <f aca="false">SUM($E$45:J45)</f>
        <v>11111.4226190918</v>
      </c>
      <c r="K46" s="41" t="n">
        <f aca="false">SUM($E$45:K45)</f>
        <v>179100.517398435</v>
      </c>
      <c r="L46" s="41" t="n">
        <f aca="false">SUM($E$45:L45)</f>
        <v>326696.874440919</v>
      </c>
      <c r="M46" s="41" t="n">
        <f aca="false">SUM($E$45:M45)</f>
        <v>456387.855908476</v>
      </c>
      <c r="N46" s="41" t="n">
        <f aca="false">SUM($E$45:N45)</f>
        <v>570355.850320894</v>
      </c>
      <c r="O46" s="41" t="n">
        <f aca="false">SUM($E$45:O45)</f>
        <v>670515.877256989</v>
      </c>
      <c r="P46" s="41" t="n">
        <f aca="false">SUM($E$45:P45)</f>
        <v>508548.526779404</v>
      </c>
      <c r="Q46" s="41" t="n">
        <f aca="false">SUM($E$45:Q45)</f>
        <v>585928.816174412</v>
      </c>
      <c r="R46" s="41" t="n">
        <f aca="false">SUM($E$45:R45)</f>
        <v>653951.473334251</v>
      </c>
      <c r="S46" s="41" t="n">
        <f aca="false">SUM($E$45:S45)</f>
        <v>713753.092127386</v>
      </c>
      <c r="T46" s="41" t="n">
        <f aca="false">SUM($E$45:T45)</f>
        <v>766331.549216577</v>
      </c>
      <c r="U46" s="41" t="n">
        <f aca="false">SUM($E$45:U45)</f>
        <v>812563.022963339</v>
      </c>
      <c r="V46" s="41" t="n">
        <f aca="false">SUM($E$45:V45)</f>
        <v>603216.912400379</v>
      </c>
      <c r="W46" s="41" t="n">
        <f aca="false">SUM($E$45:W45)</f>
        <v>638968.916976754</v>
      </c>
      <c r="X46" s="41" t="n">
        <f aca="false">SUM($E$45:X45)</f>
        <v>670412.50520004</v>
      </c>
      <c r="Y46" s="41" t="n">
        <f aca="false">SUM($E$45:Y45)</f>
        <v>698068.971819668</v>
      </c>
      <c r="Z46" s="41" t="n">
        <f aca="false">SUM($E$45:Z45)</f>
        <v>722396.258295836</v>
      </c>
      <c r="AA46" s="41" t="n">
        <f aca="false">SUM($E$45:AA45)</f>
        <v>743796.689525671</v>
      </c>
      <c r="AB46" s="41" t="n">
        <f aca="false">SUM($E$45:AB45)</f>
        <v>762623.760756967</v>
      </c>
    </row>
    <row r="47" customFormat="false" ht="15" hidden="false" customHeight="false" outlineLevel="0" collapsed="false">
      <c r="A47" s="14"/>
      <c r="B47" s="8"/>
      <c r="C47" s="9" t="s">
        <v>254</v>
      </c>
      <c r="D47" s="27" t="n">
        <f aca="false">IFERROR(MATCH(1,E47:AB47,0),"n/a")</f>
        <v>6</v>
      </c>
      <c r="E47" s="40" t="n">
        <f aca="false">IF(MIN(E46:$AB$46)&gt;0,1,0)</f>
        <v>0</v>
      </c>
      <c r="F47" s="40" t="n">
        <f aca="false">IF(MIN(F46:$AB$46)&gt;0,1,0)</f>
        <v>0</v>
      </c>
      <c r="G47" s="40" t="n">
        <f aca="false">IF(MIN(G46:$AB$46)&gt;0,1,0)</f>
        <v>0</v>
      </c>
      <c r="H47" s="40" t="n">
        <f aca="false">IF(MIN(H46:$AB$46)&gt;0,1,0)</f>
        <v>0</v>
      </c>
      <c r="I47" s="40" t="n">
        <f aca="false">IF(MIN(I46:$AB$46)&gt;0,1,0)</f>
        <v>0</v>
      </c>
      <c r="J47" s="40" t="n">
        <f aca="false">IF(MIN(J46:$AB$46)&gt;0,1,0)</f>
        <v>1</v>
      </c>
      <c r="K47" s="40" t="n">
        <f aca="false">IF(MIN(K46:$AB$46)&gt;0,1,0)</f>
        <v>1</v>
      </c>
      <c r="L47" s="40" t="n">
        <f aca="false">IF(MIN(L46:$AB$46)&gt;0,1,0)</f>
        <v>1</v>
      </c>
      <c r="M47" s="40" t="n">
        <f aca="false">IF(MIN(M46:$AB$46)&gt;0,1,0)</f>
        <v>1</v>
      </c>
      <c r="N47" s="40" t="n">
        <f aca="false">IF(MIN(N46:$AB$46)&gt;0,1,0)</f>
        <v>1</v>
      </c>
      <c r="O47" s="40" t="n">
        <f aca="false">IF(MIN(O46:$AB$46)&gt;0,1,0)</f>
        <v>1</v>
      </c>
      <c r="P47" s="40" t="n">
        <f aca="false">IF(MIN(P46:$AB$46)&gt;0,1,0)</f>
        <v>1</v>
      </c>
      <c r="Q47" s="40" t="n">
        <f aca="false">IF(MIN(Q46:$AB$46)&gt;0,1,0)</f>
        <v>1</v>
      </c>
      <c r="R47" s="40" t="n">
        <f aca="false">IF(MIN(R46:$AB$46)&gt;0,1,0)</f>
        <v>1</v>
      </c>
      <c r="S47" s="40" t="n">
        <f aca="false">IF(MIN(S46:$AB$46)&gt;0,1,0)</f>
        <v>1</v>
      </c>
      <c r="T47" s="40" t="n">
        <f aca="false">IF(MIN(T46:$AB$46)&gt;0,1,0)</f>
        <v>1</v>
      </c>
      <c r="U47" s="40" t="n">
        <f aca="false">IF(MIN(U46:$AB$46)&gt;0,1,0)</f>
        <v>1</v>
      </c>
      <c r="V47" s="40" t="n">
        <f aca="false">IF(MIN(V46:$AB$46)&gt;0,1,0)</f>
        <v>1</v>
      </c>
      <c r="W47" s="40" t="n">
        <f aca="false">IF(MIN(W46:$AB$46)&gt;0,1,0)</f>
        <v>1</v>
      </c>
      <c r="X47" s="40" t="n">
        <f aca="false">IF(MIN(X46:$AB$46)&gt;0,1,0)</f>
        <v>1</v>
      </c>
      <c r="Y47" s="40" t="n">
        <f aca="false">IF(MIN(Y46:$AB$46)&gt;0,1,0)</f>
        <v>1</v>
      </c>
      <c r="Z47" s="40" t="n">
        <f aca="false">IF(MIN(Z46:$AB$46)&gt;0,1,0)</f>
        <v>1</v>
      </c>
      <c r="AA47" s="40" t="n">
        <f aca="false">IF(MIN(AA46:$AB$46)&gt;0,1,0)</f>
        <v>1</v>
      </c>
      <c r="AB47" s="40" t="n">
        <f aca="false">IF(MIN(AB46:$AB$46)&gt;0,1,0)</f>
        <v>1</v>
      </c>
    </row>
    <row r="50" customFormat="false" ht="15" hidden="false" customHeight="false" outlineLevel="0" collapsed="false">
      <c r="A50" s="38" t="s">
        <v>209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</row>
    <row r="51" customFormat="false" ht="15" hidden="false" customHeight="false" outlineLevel="0" collapsed="false">
      <c r="A51" s="14" t="s">
        <v>210</v>
      </c>
      <c r="B51" s="8" t="s">
        <v>250</v>
      </c>
      <c r="C51" s="8" t="s">
        <v>251</v>
      </c>
      <c r="D51" s="34" t="n">
        <f aca="false">SUM(E51:AB51)</f>
        <v>1498516.65585667</v>
      </c>
      <c r="E51" s="41" t="n">
        <f aca="false">IF(E$4=Assumptions!$C$31,'Deal Structures'!$D$6*Assumptions!$C$30,0)+IF(E$4=Assumptions!$C$33,'Deal Structures'!$D$6*Assumptions!$C$32,0)</f>
        <v>749258.327928335</v>
      </c>
      <c r="F51" s="41" t="n">
        <f aca="false">IF(F$4=Assumptions!$C$31,'Deal Structures'!$D$6*Assumptions!$C$30,0)+IF(F$4=Assumptions!$C$33,'Deal Structures'!$D$6*Assumptions!$C$32,0)</f>
        <v>0</v>
      </c>
      <c r="G51" s="41" t="n">
        <f aca="false">IF(G$4=Assumptions!$C$31,'Deal Structures'!$D$6*Assumptions!$C$30,0)+IF(G$4=Assumptions!$C$33,'Deal Structures'!$D$6*Assumptions!$C$32,0)</f>
        <v>0</v>
      </c>
      <c r="H51" s="41" t="n">
        <f aca="false">IF(H$4=Assumptions!$C$31,'Deal Structures'!$D$6*Assumptions!$C$30,0)+IF(H$4=Assumptions!$C$33,'Deal Structures'!$D$6*Assumptions!$C$32,0)</f>
        <v>0</v>
      </c>
      <c r="I51" s="41" t="n">
        <f aca="false">IF(I$4=Assumptions!$C$31,'Deal Structures'!$D$6*Assumptions!$C$30,0)+IF(I$4=Assumptions!$C$33,'Deal Structures'!$D$6*Assumptions!$C$32,0)</f>
        <v>0</v>
      </c>
      <c r="J51" s="41" t="n">
        <f aca="false">IF(J$4=Assumptions!$C$31,'Deal Structures'!$D$6*Assumptions!$C$30,0)+IF(J$4=Assumptions!$C$33,'Deal Structures'!$D$6*Assumptions!$C$32,0)</f>
        <v>0</v>
      </c>
      <c r="K51" s="41" t="n">
        <f aca="false">IF(K$4=Assumptions!$C$31,'Deal Structures'!$D$6*Assumptions!$C$30,0)+IF(K$4=Assumptions!$C$33,'Deal Structures'!$D$6*Assumptions!$C$32,0)</f>
        <v>749258.327928335</v>
      </c>
      <c r="L51" s="41" t="n">
        <f aca="false">IF(L$4=Assumptions!$C$31,'Deal Structures'!$D$6*Assumptions!$C$30,0)+IF(L$4=Assumptions!$C$33,'Deal Structures'!$D$6*Assumptions!$C$32,0)</f>
        <v>0</v>
      </c>
      <c r="M51" s="41" t="n">
        <f aca="false">IF(M$4=Assumptions!$C$31,'Deal Structures'!$D$6*Assumptions!$C$30,0)+IF(M$4=Assumptions!$C$33,'Deal Structures'!$D$6*Assumptions!$C$32,0)</f>
        <v>0</v>
      </c>
      <c r="N51" s="41" t="n">
        <f aca="false">IF(N$4=Assumptions!$C$31,'Deal Structures'!$D$6*Assumptions!$C$30,0)+IF(N$4=Assumptions!$C$33,'Deal Structures'!$D$6*Assumptions!$C$32,0)</f>
        <v>0</v>
      </c>
      <c r="O51" s="41" t="n">
        <f aca="false">IF(O$4=Assumptions!$C$31,'Deal Structures'!$D$6*Assumptions!$C$30,0)+IF(O$4=Assumptions!$C$33,'Deal Structures'!$D$6*Assumptions!$C$32,0)</f>
        <v>0</v>
      </c>
      <c r="P51" s="41" t="n">
        <f aca="false">IF(P$4=Assumptions!$C$31,'Deal Structures'!$D$6*Assumptions!$C$30,0)+IF(P$4=Assumptions!$C$33,'Deal Structures'!$D$6*Assumptions!$C$32,0)</f>
        <v>0</v>
      </c>
      <c r="Q51" s="41" t="n">
        <f aca="false">IF(Q$4=Assumptions!$C$31,'Deal Structures'!$D$6*Assumptions!$C$30,0)+IF(Q$4=Assumptions!$C$33,'Deal Structures'!$D$6*Assumptions!$C$32,0)</f>
        <v>0</v>
      </c>
      <c r="R51" s="41" t="n">
        <f aca="false">IF(R$4=Assumptions!$C$31,'Deal Structures'!$D$6*Assumptions!$C$30,0)+IF(R$4=Assumptions!$C$33,'Deal Structures'!$D$6*Assumptions!$C$32,0)</f>
        <v>0</v>
      </c>
      <c r="S51" s="41" t="n">
        <f aca="false">IF(S$4=Assumptions!$C$31,'Deal Structures'!$D$6*Assumptions!$C$30,0)+IF(S$4=Assumptions!$C$33,'Deal Structures'!$D$6*Assumptions!$C$32,0)</f>
        <v>0</v>
      </c>
      <c r="T51" s="41" t="n">
        <f aca="false">IF(T$4=Assumptions!$C$31,'Deal Structures'!$D$6*Assumptions!$C$30,0)+IF(T$4=Assumptions!$C$33,'Deal Structures'!$D$6*Assumptions!$C$32,0)</f>
        <v>0</v>
      </c>
      <c r="U51" s="41" t="n">
        <f aca="false">IF(U$4=Assumptions!$C$31,'Deal Structures'!$D$6*Assumptions!$C$30,0)+IF(U$4=Assumptions!$C$33,'Deal Structures'!$D$6*Assumptions!$C$32,0)</f>
        <v>0</v>
      </c>
      <c r="V51" s="41" t="n">
        <f aca="false">IF(V$4=Assumptions!$C$31,'Deal Structures'!$D$6*Assumptions!$C$30,0)+IF(V$4=Assumptions!$C$33,'Deal Structures'!$D$6*Assumptions!$C$32,0)</f>
        <v>0</v>
      </c>
      <c r="W51" s="41" t="n">
        <f aca="false">IF(W$4=Assumptions!$C$31,'Deal Structures'!$D$6*Assumptions!$C$30,0)+IF(W$4=Assumptions!$C$33,'Deal Structures'!$D$6*Assumptions!$C$32,0)</f>
        <v>0</v>
      </c>
      <c r="X51" s="41" t="n">
        <f aca="false">IF(X$4=Assumptions!$C$31,'Deal Structures'!$D$6*Assumptions!$C$30,0)+IF(X$4=Assumptions!$C$33,'Deal Structures'!$D$6*Assumptions!$C$32,0)</f>
        <v>0</v>
      </c>
      <c r="Y51" s="41" t="n">
        <f aca="false">IF(Y$4=Assumptions!$C$31,'Deal Structures'!$D$6*Assumptions!$C$30,0)+IF(Y$4=Assumptions!$C$33,'Deal Structures'!$D$6*Assumptions!$C$32,0)</f>
        <v>0</v>
      </c>
      <c r="Z51" s="41" t="n">
        <f aca="false">IF(Z$4=Assumptions!$C$31,'Deal Structures'!$D$6*Assumptions!$C$30,0)+IF(Z$4=Assumptions!$C$33,'Deal Structures'!$D$6*Assumptions!$C$32,0)</f>
        <v>0</v>
      </c>
      <c r="AA51" s="41" t="n">
        <f aca="false">IF(AA$4=Assumptions!$C$31,'Deal Structures'!$D$6*Assumptions!$C$30,0)+IF(AA$4=Assumptions!$C$33,'Deal Structures'!$D$6*Assumptions!$C$32,0)</f>
        <v>0</v>
      </c>
      <c r="AB51" s="41" t="n">
        <f aca="false">IF(AB$4=Assumptions!$C$31,'Deal Structures'!$D$6*Assumptions!$C$30,0)+IF(AB$4=Assumptions!$C$33,'Deal Structures'!$D$6*Assumptions!$C$32,0)</f>
        <v>0</v>
      </c>
    </row>
    <row r="52" customFormat="false" ht="15" hidden="false" customHeight="false" outlineLevel="0" collapsed="false">
      <c r="A52" s="14"/>
      <c r="B52" s="8"/>
      <c r="C52" s="9" t="s">
        <v>252</v>
      </c>
      <c r="D52" s="34" t="n">
        <f aca="false">SUM(E52:AB52)</f>
        <v>1268845.48773237</v>
      </c>
      <c r="E52" s="41" t="n">
        <f aca="false">'Title Economics'!E157-E51</f>
        <v>-846821.639186804</v>
      </c>
      <c r="F52" s="41" t="n">
        <f aca="false">'Title Economics'!F157-F51</f>
        <v>247081.677442502</v>
      </c>
      <c r="G52" s="41" t="n">
        <f aca="false">'Title Economics'!G157-G51</f>
        <v>270669.272037579</v>
      </c>
      <c r="H52" s="41" t="n">
        <f aca="false">'Title Economics'!H157-H51</f>
        <v>253303.403926884</v>
      </c>
      <c r="I52" s="41" t="n">
        <f aca="false">'Title Economics'!I157-I51</f>
        <v>260624.381143463</v>
      </c>
      <c r="J52" s="41" t="n">
        <f aca="false">'Title Economics'!J157-J51</f>
        <v>231025.242670407</v>
      </c>
      <c r="K52" s="41" t="n">
        <f aca="false">'Title Economics'!K157-K51</f>
        <v>-544451.695162038</v>
      </c>
      <c r="L52" s="41" t="n">
        <f aca="false">'Title Economics'!L157-L51</f>
        <v>181580.073926062</v>
      </c>
      <c r="M52" s="41" t="n">
        <f aca="false">'Title Economics'!M157-M51</f>
        <v>161002.03167656</v>
      </c>
      <c r="N52" s="41" t="n">
        <f aca="false">'Title Economics'!N157-N51</f>
        <v>142768.677212481</v>
      </c>
      <c r="O52" s="41" t="n">
        <f aca="false">'Title Economics'!O157-O51</f>
        <v>126611.265134754</v>
      </c>
      <c r="P52" s="41" t="n">
        <f aca="false">'Title Economics'!P157-P51</f>
        <v>112292.053449736</v>
      </c>
      <c r="Q52" s="41" t="n">
        <f aca="false">'Title Economics'!Q157-Q51</f>
        <v>99600.7016890497</v>
      </c>
      <c r="R52" s="41" t="n">
        <f aca="false">'Title Economics'!R157-R51</f>
        <v>88351.0906625685</v>
      </c>
      <c r="S52" s="41" t="n">
        <f aca="false">'Title Economics'!S157-S51</f>
        <v>78378.5140883912</v>
      </c>
      <c r="T52" s="41" t="n">
        <f aca="false">'Title Economics'!T157-T51</f>
        <v>69537.1982655826</v>
      </c>
      <c r="U52" s="41" t="n">
        <f aca="false">'Title Economics'!U157-U51</f>
        <v>61698.1111662765</v>
      </c>
      <c r="V52" s="41" t="n">
        <f aca="false">'Title Economics'!V157-V51</f>
        <v>54747.0269095901</v>
      </c>
      <c r="W52" s="41" t="n">
        <f aca="false">'Title Economics'!W157-W51</f>
        <v>48582.8156163454</v>
      </c>
      <c r="X52" s="41" t="n">
        <f aca="false">'Title Economics'!X157-X51</f>
        <v>43115.9321972318</v>
      </c>
      <c r="Y52" s="41" t="n">
        <f aca="false">'Title Economics'!Y157-Y51</f>
        <v>38267.0807560727</v>
      </c>
      <c r="Z52" s="41" t="n">
        <f aca="false">'Title Economics'!Z157-Z51</f>
        <v>33966.0340454797</v>
      </c>
      <c r="AA52" s="41" t="n">
        <f aca="false">'Title Economics'!AA157-AA51</f>
        <v>30150.5898393457</v>
      </c>
      <c r="AB52" s="41" t="n">
        <f aca="false">'Title Economics'!AB157-AB51</f>
        <v>26765.6482248537</v>
      </c>
    </row>
    <row r="53" customFormat="false" ht="15" hidden="false" customHeight="false" outlineLevel="0" collapsed="false">
      <c r="A53" s="14"/>
      <c r="B53" s="8"/>
      <c r="C53" s="9" t="s">
        <v>253</v>
      </c>
      <c r="D53" s="34" t="n">
        <f aca="false">SUM(E53:AB53)</f>
        <v>12774483.9854411</v>
      </c>
      <c r="E53" s="41" t="n">
        <f aca="false">SUM($E$52:E52)</f>
        <v>-846821.639186804</v>
      </c>
      <c r="F53" s="41" t="n">
        <f aca="false">SUM($E$52:F52)</f>
        <v>-599739.961744302</v>
      </c>
      <c r="G53" s="41" t="n">
        <f aca="false">SUM($E$52:G52)</f>
        <v>-329070.689706723</v>
      </c>
      <c r="H53" s="41" t="n">
        <f aca="false">SUM($E$52:H52)</f>
        <v>-75767.2857798384</v>
      </c>
      <c r="I53" s="41" t="n">
        <f aca="false">SUM($E$52:I52)</f>
        <v>184857.095363624</v>
      </c>
      <c r="J53" s="41" t="n">
        <f aca="false">SUM($E$52:J52)</f>
        <v>415882.338034032</v>
      </c>
      <c r="K53" s="41" t="n">
        <f aca="false">SUM($E$52:K52)</f>
        <v>-128569.357128007</v>
      </c>
      <c r="L53" s="41" t="n">
        <f aca="false">SUM($E$52:L52)</f>
        <v>53010.716798055</v>
      </c>
      <c r="M53" s="41" t="n">
        <f aca="false">SUM($E$52:M52)</f>
        <v>214012.748474615</v>
      </c>
      <c r="N53" s="41" t="n">
        <f aca="false">SUM($E$52:N52)</f>
        <v>356781.425687097</v>
      </c>
      <c r="O53" s="41" t="n">
        <f aca="false">SUM($E$52:O52)</f>
        <v>483392.69082185</v>
      </c>
      <c r="P53" s="41" t="n">
        <f aca="false">SUM($E$52:P52)</f>
        <v>595684.744271586</v>
      </c>
      <c r="Q53" s="41" t="n">
        <f aca="false">SUM($E$52:Q52)</f>
        <v>695285.445960636</v>
      </c>
      <c r="R53" s="41" t="n">
        <f aca="false">SUM($E$52:R52)</f>
        <v>783636.536623205</v>
      </c>
      <c r="S53" s="41" t="n">
        <f aca="false">SUM($E$52:S52)</f>
        <v>862015.050711596</v>
      </c>
      <c r="T53" s="41" t="n">
        <f aca="false">SUM($E$52:T52)</f>
        <v>931552.248977178</v>
      </c>
      <c r="U53" s="41" t="n">
        <f aca="false">SUM($E$52:U52)</f>
        <v>993250.360143455</v>
      </c>
      <c r="V53" s="41" t="n">
        <f aca="false">SUM($E$52:V52)</f>
        <v>1047997.38705304</v>
      </c>
      <c r="W53" s="41" t="n">
        <f aca="false">SUM($E$52:W52)</f>
        <v>1096580.20266939</v>
      </c>
      <c r="X53" s="41" t="n">
        <f aca="false">SUM($E$52:X52)</f>
        <v>1139696.13486662</v>
      </c>
      <c r="Y53" s="41" t="n">
        <f aca="false">SUM($E$52:Y52)</f>
        <v>1177963.21562269</v>
      </c>
      <c r="Z53" s="41" t="n">
        <f aca="false">SUM($E$52:Z52)</f>
        <v>1211929.24966817</v>
      </c>
      <c r="AA53" s="41" t="n">
        <f aca="false">SUM($E$52:AA52)</f>
        <v>1242079.83950752</v>
      </c>
      <c r="AB53" s="41" t="n">
        <f aca="false">SUM($E$52:AB52)</f>
        <v>1268845.48773237</v>
      </c>
    </row>
    <row r="54" customFormat="false" ht="15" hidden="false" customHeight="false" outlineLevel="0" collapsed="false">
      <c r="A54" s="14"/>
      <c r="B54" s="8"/>
      <c r="C54" s="9" t="s">
        <v>254</v>
      </c>
      <c r="D54" s="27" t="n">
        <f aca="false">IFERROR(MATCH(1,E54:AB54,0),"n/a")</f>
        <v>8</v>
      </c>
      <c r="E54" s="40" t="n">
        <f aca="false">IF(MIN(E53:$AB$53)&gt;0,1,0)</f>
        <v>0</v>
      </c>
      <c r="F54" s="40" t="n">
        <f aca="false">IF(MIN(F53:$AB$53)&gt;0,1,0)</f>
        <v>0</v>
      </c>
      <c r="G54" s="40" t="n">
        <f aca="false">IF(MIN(G53:$AB$53)&gt;0,1,0)</f>
        <v>0</v>
      </c>
      <c r="H54" s="40" t="n">
        <f aca="false">IF(MIN(H53:$AB$53)&gt;0,1,0)</f>
        <v>0</v>
      </c>
      <c r="I54" s="40" t="n">
        <f aca="false">IF(MIN(I53:$AB$53)&gt;0,1,0)</f>
        <v>0</v>
      </c>
      <c r="J54" s="40" t="n">
        <f aca="false">IF(MIN(J53:$AB$53)&gt;0,1,0)</f>
        <v>0</v>
      </c>
      <c r="K54" s="40" t="n">
        <f aca="false">IF(MIN(K53:$AB$53)&gt;0,1,0)</f>
        <v>0</v>
      </c>
      <c r="L54" s="40" t="n">
        <f aca="false">IF(MIN(L53:$AB$53)&gt;0,1,0)</f>
        <v>1</v>
      </c>
      <c r="M54" s="40" t="n">
        <f aca="false">IF(MIN(M53:$AB$53)&gt;0,1,0)</f>
        <v>1</v>
      </c>
      <c r="N54" s="40" t="n">
        <f aca="false">IF(MIN(N53:$AB$53)&gt;0,1,0)</f>
        <v>1</v>
      </c>
      <c r="O54" s="40" t="n">
        <f aca="false">IF(MIN(O53:$AB$53)&gt;0,1,0)</f>
        <v>1</v>
      </c>
      <c r="P54" s="40" t="n">
        <f aca="false">IF(MIN(P53:$AB$53)&gt;0,1,0)</f>
        <v>1</v>
      </c>
      <c r="Q54" s="40" t="n">
        <f aca="false">IF(MIN(Q53:$AB$53)&gt;0,1,0)</f>
        <v>1</v>
      </c>
      <c r="R54" s="40" t="n">
        <f aca="false">IF(MIN(R53:$AB$53)&gt;0,1,0)</f>
        <v>1</v>
      </c>
      <c r="S54" s="40" t="n">
        <f aca="false">IF(MIN(S53:$AB$53)&gt;0,1,0)</f>
        <v>1</v>
      </c>
      <c r="T54" s="40" t="n">
        <f aca="false">IF(MIN(T53:$AB$53)&gt;0,1,0)</f>
        <v>1</v>
      </c>
      <c r="U54" s="40" t="n">
        <f aca="false">IF(MIN(U53:$AB$53)&gt;0,1,0)</f>
        <v>1</v>
      </c>
      <c r="V54" s="40" t="n">
        <f aca="false">IF(MIN(V53:$AB$53)&gt;0,1,0)</f>
        <v>1</v>
      </c>
      <c r="W54" s="40" t="n">
        <f aca="false">IF(MIN(W53:$AB$53)&gt;0,1,0)</f>
        <v>1</v>
      </c>
      <c r="X54" s="40" t="n">
        <f aca="false">IF(MIN(X53:$AB$53)&gt;0,1,0)</f>
        <v>1</v>
      </c>
      <c r="Y54" s="40" t="n">
        <f aca="false">IF(MIN(Y53:$AB$53)&gt;0,1,0)</f>
        <v>1</v>
      </c>
      <c r="Z54" s="40" t="n">
        <f aca="false">IF(MIN(Z53:$AB$53)&gt;0,1,0)</f>
        <v>1</v>
      </c>
      <c r="AA54" s="40" t="n">
        <f aca="false">IF(MIN(AA53:$AB$53)&gt;0,1,0)</f>
        <v>1</v>
      </c>
      <c r="AB54" s="40" t="n">
        <f aca="false">IF(MIN(AB53:$AB$53)&gt;0,1,0)</f>
        <v>1</v>
      </c>
    </row>
    <row r="56" customFormat="false" ht="15" hidden="false" customHeight="false" outlineLevel="0" collapsed="false">
      <c r="A56" s="14" t="s">
        <v>210</v>
      </c>
      <c r="B56" s="8" t="s">
        <v>255</v>
      </c>
      <c r="C56" s="9" t="s">
        <v>256</v>
      </c>
      <c r="D56" s="34" t="n">
        <f aca="false">SUM(E56:AB56)</f>
        <v>1602006.47417764</v>
      </c>
      <c r="E56" s="41" t="n">
        <f aca="false">'Monthly Viewing Forecast'!E118*Assumptions!$C$38</f>
        <v>193789.975277681</v>
      </c>
      <c r="F56" s="41" t="n">
        <f aca="false">'Monthly Viewing Forecast'!F118*Assumptions!$C$38</f>
        <v>171517.986213266</v>
      </c>
      <c r="G56" s="41" t="n">
        <f aca="false">'Monthly Viewing Forecast'!G118*Assumptions!$C$38</f>
        <v>151823.338592381</v>
      </c>
      <c r="H56" s="41" t="n">
        <f aca="false">'Monthly Viewing Forecast'!H118*Assumptions!$C$38</f>
        <v>134405.548741253</v>
      </c>
      <c r="I56" s="41" t="n">
        <f aca="false">'Monthly Viewing Forecast'!I118*Assumptions!$C$38</f>
        <v>118999.44703584</v>
      </c>
      <c r="J56" s="41" t="n">
        <f aca="false">'Monthly Viewing Forecast'!J118*Assumptions!$C$38</f>
        <v>105370.992131675</v>
      </c>
      <c r="K56" s="41" t="n">
        <f aca="false">'Monthly Viewing Forecast'!K118*Assumptions!$C$38</f>
        <v>93313.5858040695</v>
      </c>
      <c r="L56" s="41" t="n">
        <f aca="false">'Monthly Viewing Forecast'!L118*Assumptions!$C$38</f>
        <v>82644.8279650306</v>
      </c>
      <c r="M56" s="41" t="n">
        <f aca="false">'Monthly Viewing Forecast'!M118*Assumptions!$C$38</f>
        <v>73203.6587891697</v>
      </c>
      <c r="N56" s="41" t="n">
        <f aca="false">'Monthly Viewing Forecast'!N118*Assumptions!$C$38</f>
        <v>64847.8413401264</v>
      </c>
      <c r="O56" s="41" t="n">
        <f aca="false">'Monthly Viewing Forecast'!O118*Assumptions!$C$38</f>
        <v>57451.7437544804</v>
      </c>
      <c r="P56" s="41" t="n">
        <f aca="false">'Monthly Viewing Forecast'!P118*Assumptions!$C$38</f>
        <v>50904.3850101689</v>
      </c>
      <c r="Q56" s="41" t="n">
        <f aca="false">'Monthly Viewing Forecast'!Q118*Assumptions!$C$38</f>
        <v>45107.7126673097</v>
      </c>
      <c r="R56" s="41" t="n">
        <f aca="false">'Monthly Viewing Forecast'!R118*Assumptions!$C$38</f>
        <v>39975.0847964314</v>
      </c>
      <c r="S56" s="41" t="n">
        <f aca="false">'Monthly Viewing Forecast'!S118*Assumptions!$C$38</f>
        <v>35429.9316684037</v>
      </c>
      <c r="T56" s="41" t="n">
        <f aca="false">'Monthly Viewing Forecast'!T118*Assumptions!$C$38</f>
        <v>31404.5757295944</v>
      </c>
      <c r="U56" s="41" t="n">
        <f aca="false">'Monthly Viewing Forecast'!U118*Assumptions!$C$38</f>
        <v>27839.1909754869</v>
      </c>
      <c r="V56" s="41" t="n">
        <f aca="false">'Monthly Viewing Forecast'!V118*Assumptions!$C$38</f>
        <v>24680.8851104351</v>
      </c>
      <c r="W56" s="41" t="n">
        <f aca="false">'Monthly Viewing Forecast'!W118*Assumptions!$C$38</f>
        <v>21882.889879164</v>
      </c>
      <c r="X56" s="41" t="n">
        <f aca="false">'Monthly Viewing Forecast'!X118*Assumptions!$C$38</f>
        <v>19403.8467109822</v>
      </c>
      <c r="Y56" s="41" t="n">
        <f aca="false">'Monthly Viewing Forecast'!Y118*Assumptions!$C$38</f>
        <v>17207.1763601996</v>
      </c>
      <c r="Z56" s="41" t="n">
        <f aca="false">'Monthly Viewing Forecast'!Z118*Assumptions!$C$38</f>
        <v>15260.5225819887</v>
      </c>
      <c r="AA56" s="41" t="n">
        <f aca="false">'Monthly Viewing Forecast'!AA118*Assumptions!$C$38</f>
        <v>13535.2610747319</v>
      </c>
      <c r="AB56" s="41" t="n">
        <f aca="false">'Monthly Viewing Forecast'!AB118*Assumptions!$C$38</f>
        <v>12006.0659677689</v>
      </c>
    </row>
    <row r="57" customFormat="false" ht="15" hidden="false" customHeight="false" outlineLevel="0" collapsed="false">
      <c r="A57" s="14"/>
      <c r="B57" s="8"/>
      <c r="C57" s="9" t="s">
        <v>257</v>
      </c>
      <c r="D57" s="34" t="n">
        <f aca="false">AB57</f>
        <v>1602006.47417764</v>
      </c>
      <c r="E57" s="41" t="n">
        <f aca="false">SUM($E$56:E56)</f>
        <v>193789.975277681</v>
      </c>
      <c r="F57" s="41" t="n">
        <f aca="false">SUM($E$56:F56)</f>
        <v>365307.961490947</v>
      </c>
      <c r="G57" s="41" t="n">
        <f aca="false">SUM($E$56:G56)</f>
        <v>517131.300083328</v>
      </c>
      <c r="H57" s="41" t="n">
        <f aca="false">SUM($E$56:H56)</f>
        <v>651536.848824581</v>
      </c>
      <c r="I57" s="41" t="n">
        <f aca="false">SUM($E$56:I56)</f>
        <v>770536.29586042</v>
      </c>
      <c r="J57" s="41" t="n">
        <f aca="false">SUM($E$56:J56)</f>
        <v>875907.287992096</v>
      </c>
      <c r="K57" s="41" t="n">
        <f aca="false">SUM($E$56:K56)</f>
        <v>969220.873796165</v>
      </c>
      <c r="L57" s="41" t="n">
        <f aca="false">SUM($E$56:L56)</f>
        <v>1051865.7017612</v>
      </c>
      <c r="M57" s="41" t="n">
        <f aca="false">SUM($E$56:M56)</f>
        <v>1125069.36055037</v>
      </c>
      <c r="N57" s="41" t="n">
        <f aca="false">SUM($E$56:N56)</f>
        <v>1189917.20189049</v>
      </c>
      <c r="O57" s="41" t="n">
        <f aca="false">SUM($E$56:O56)</f>
        <v>1247368.94564497</v>
      </c>
      <c r="P57" s="41" t="n">
        <f aca="false">SUM($E$56:P56)</f>
        <v>1298273.33065514</v>
      </c>
      <c r="Q57" s="41" t="n">
        <f aca="false">SUM($E$56:Q56)</f>
        <v>1343381.04332245</v>
      </c>
      <c r="R57" s="41" t="n">
        <f aca="false">SUM($E$56:R56)</f>
        <v>1383356.12811888</v>
      </c>
      <c r="S57" s="41" t="n">
        <f aca="false">SUM($E$56:S56)</f>
        <v>1418786.05978729</v>
      </c>
      <c r="T57" s="41" t="n">
        <f aca="false">SUM($E$56:T56)</f>
        <v>1450190.63551688</v>
      </c>
      <c r="U57" s="41" t="n">
        <f aca="false">SUM($E$56:U56)</f>
        <v>1478029.82649237</v>
      </c>
      <c r="V57" s="41" t="n">
        <f aca="false">SUM($E$56:V56)</f>
        <v>1502710.7116028</v>
      </c>
      <c r="W57" s="41" t="n">
        <f aca="false">SUM($E$56:W56)</f>
        <v>1524593.60148197</v>
      </c>
      <c r="X57" s="41" t="n">
        <f aca="false">SUM($E$56:X56)</f>
        <v>1543997.44819295</v>
      </c>
      <c r="Y57" s="41" t="n">
        <f aca="false">SUM($E$56:Y56)</f>
        <v>1561204.62455315</v>
      </c>
      <c r="Z57" s="41" t="n">
        <f aca="false">SUM($E$56:Z56)</f>
        <v>1576465.14713514</v>
      </c>
      <c r="AA57" s="41" t="n">
        <f aca="false">SUM($E$56:AA56)</f>
        <v>1590000.40820987</v>
      </c>
      <c r="AB57" s="41" t="n">
        <f aca="false">SUM($E$56:AB56)</f>
        <v>1602006.47417764</v>
      </c>
    </row>
    <row r="58" customFormat="false" ht="15" hidden="false" customHeight="false" outlineLevel="0" collapsed="false">
      <c r="A58" s="14"/>
      <c r="B58" s="8"/>
      <c r="C58" s="9" t="s">
        <v>258</v>
      </c>
      <c r="D58" s="34" t="n">
        <f aca="false">AB58</f>
        <v>1602006.47417764</v>
      </c>
      <c r="E58" s="41" t="n">
        <f aca="false">MAX(Assumptions!$C$37,E57)</f>
        <v>950000</v>
      </c>
      <c r="F58" s="41" t="n">
        <f aca="false">MAX(Assumptions!$C$37,F57)</f>
        <v>950000</v>
      </c>
      <c r="G58" s="41" t="n">
        <f aca="false">MAX(Assumptions!$C$37,G57)</f>
        <v>950000</v>
      </c>
      <c r="H58" s="41" t="n">
        <f aca="false">MAX(Assumptions!$C$37,H57)</f>
        <v>950000</v>
      </c>
      <c r="I58" s="41" t="n">
        <f aca="false">MAX(Assumptions!$C$37,I57)</f>
        <v>950000</v>
      </c>
      <c r="J58" s="41" t="n">
        <f aca="false">MAX(Assumptions!$C$37,J57)</f>
        <v>950000</v>
      </c>
      <c r="K58" s="41" t="n">
        <f aca="false">MAX(Assumptions!$C$37,K57)</f>
        <v>969220.873796165</v>
      </c>
      <c r="L58" s="41" t="n">
        <f aca="false">MAX(Assumptions!$C$37,L57)</f>
        <v>1051865.7017612</v>
      </c>
      <c r="M58" s="41" t="n">
        <f aca="false">MAX(Assumptions!$C$37,M57)</f>
        <v>1125069.36055037</v>
      </c>
      <c r="N58" s="41" t="n">
        <f aca="false">MAX(Assumptions!$C$37,N57)</f>
        <v>1189917.20189049</v>
      </c>
      <c r="O58" s="41" t="n">
        <f aca="false">MAX(Assumptions!$C$37,O57)</f>
        <v>1247368.94564497</v>
      </c>
      <c r="P58" s="41" t="n">
        <f aca="false">MAX(Assumptions!$C$37,P57)</f>
        <v>1298273.33065514</v>
      </c>
      <c r="Q58" s="41" t="n">
        <f aca="false">MAX(Assumptions!$C$37,Q57)</f>
        <v>1343381.04332245</v>
      </c>
      <c r="R58" s="41" t="n">
        <f aca="false">MAX(Assumptions!$C$37,R57)</f>
        <v>1383356.12811888</v>
      </c>
      <c r="S58" s="41" t="n">
        <f aca="false">MAX(Assumptions!$C$37,S57)</f>
        <v>1418786.05978729</v>
      </c>
      <c r="T58" s="41" t="n">
        <f aca="false">MAX(Assumptions!$C$37,T57)</f>
        <v>1450190.63551688</v>
      </c>
      <c r="U58" s="41" t="n">
        <f aca="false">MAX(Assumptions!$C$37,U57)</f>
        <v>1478029.82649237</v>
      </c>
      <c r="V58" s="41" t="n">
        <f aca="false">MAX(Assumptions!$C$37,V57)</f>
        <v>1502710.7116028</v>
      </c>
      <c r="W58" s="41" t="n">
        <f aca="false">MAX(Assumptions!$C$37,W57)</f>
        <v>1524593.60148197</v>
      </c>
      <c r="X58" s="41" t="n">
        <f aca="false">MAX(Assumptions!$C$37,X57)</f>
        <v>1543997.44819295</v>
      </c>
      <c r="Y58" s="41" t="n">
        <f aca="false">MAX(Assumptions!$C$37,Y57)</f>
        <v>1561204.62455315</v>
      </c>
      <c r="Z58" s="41" t="n">
        <f aca="false">MAX(Assumptions!$C$37,Z57)</f>
        <v>1576465.14713514</v>
      </c>
      <c r="AA58" s="41" t="n">
        <f aca="false">MAX(Assumptions!$C$37,AA57)</f>
        <v>1590000.40820987</v>
      </c>
      <c r="AB58" s="41" t="n">
        <f aca="false">MAX(Assumptions!$C$37,AB57)</f>
        <v>1602006.47417764</v>
      </c>
    </row>
    <row r="59" customFormat="false" ht="15" hidden="false" customHeight="false" outlineLevel="0" collapsed="false">
      <c r="A59" s="14"/>
      <c r="B59" s="8"/>
      <c r="C59" s="8" t="s">
        <v>251</v>
      </c>
      <c r="D59" s="34" t="n">
        <f aca="false">SUM(E59:AB59)</f>
        <v>1602006.47417764</v>
      </c>
      <c r="E59" s="41" t="n">
        <f aca="false">E58</f>
        <v>950000</v>
      </c>
      <c r="F59" s="41" t="n">
        <f aca="false">F58-E58</f>
        <v>0</v>
      </c>
      <c r="G59" s="41" t="n">
        <f aca="false">G58-F58</f>
        <v>0</v>
      </c>
      <c r="H59" s="41" t="n">
        <f aca="false">H58-G58</f>
        <v>0</v>
      </c>
      <c r="I59" s="41" t="n">
        <f aca="false">I58-H58</f>
        <v>0</v>
      </c>
      <c r="J59" s="41" t="n">
        <f aca="false">J58-I58</f>
        <v>0</v>
      </c>
      <c r="K59" s="41" t="n">
        <f aca="false">K58-J58</f>
        <v>19220.8737961653</v>
      </c>
      <c r="L59" s="41" t="n">
        <f aca="false">L58-K58</f>
        <v>82644.8279650303</v>
      </c>
      <c r="M59" s="41" t="n">
        <f aca="false">M58-L58</f>
        <v>73203.65878917</v>
      </c>
      <c r="N59" s="41" t="n">
        <f aca="false">N58-M58</f>
        <v>64847.8413401262</v>
      </c>
      <c r="O59" s="41" t="n">
        <f aca="false">O58-N58</f>
        <v>57451.7437544805</v>
      </c>
      <c r="P59" s="41" t="n">
        <f aca="false">P58-O58</f>
        <v>50904.3850101689</v>
      </c>
      <c r="Q59" s="41" t="n">
        <f aca="false">Q58-P58</f>
        <v>45107.7126673097</v>
      </c>
      <c r="R59" s="41" t="n">
        <f aca="false">R58-Q58</f>
        <v>39975.0847964315</v>
      </c>
      <c r="S59" s="41" t="n">
        <f aca="false">S58-R58</f>
        <v>35429.9316684036</v>
      </c>
      <c r="T59" s="41" t="n">
        <f aca="false">T58-S58</f>
        <v>31404.5757295943</v>
      </c>
      <c r="U59" s="41" t="n">
        <f aca="false">U58-T58</f>
        <v>27839.190975487</v>
      </c>
      <c r="V59" s="41" t="n">
        <f aca="false">V58-U58</f>
        <v>24680.8851104351</v>
      </c>
      <c r="W59" s="41" t="n">
        <f aca="false">W58-V58</f>
        <v>21882.8898791641</v>
      </c>
      <c r="X59" s="41" t="n">
        <f aca="false">X58-W58</f>
        <v>19403.8467109823</v>
      </c>
      <c r="Y59" s="41" t="n">
        <f aca="false">Y58-X58</f>
        <v>17207.1763601995</v>
      </c>
      <c r="Z59" s="41" t="n">
        <f aca="false">Z58-Y58</f>
        <v>15260.5225819887</v>
      </c>
      <c r="AA59" s="41" t="n">
        <f aca="false">AA58-Z58</f>
        <v>13535.2610747318</v>
      </c>
      <c r="AB59" s="41" t="n">
        <f aca="false">AB58-AA58</f>
        <v>12006.0659677689</v>
      </c>
    </row>
    <row r="60" customFormat="false" ht="15" hidden="false" customHeight="false" outlineLevel="0" collapsed="false">
      <c r="A60" s="14"/>
      <c r="B60" s="8"/>
      <c r="C60" s="9" t="s">
        <v>252</v>
      </c>
      <c r="D60" s="34" t="n">
        <f aca="false">SUM(E60:AB60)</f>
        <v>1165355.66941141</v>
      </c>
      <c r="E60" s="41" t="n">
        <f aca="false">'Title Economics'!E157-E59</f>
        <v>-1047563.31125847</v>
      </c>
      <c r="F60" s="41" t="n">
        <f aca="false">'Title Economics'!F157-F59</f>
        <v>247081.677442502</v>
      </c>
      <c r="G60" s="41" t="n">
        <f aca="false">'Title Economics'!G157-G59</f>
        <v>270669.272037579</v>
      </c>
      <c r="H60" s="41" t="n">
        <f aca="false">'Title Economics'!H157-H59</f>
        <v>253303.403926884</v>
      </c>
      <c r="I60" s="41" t="n">
        <f aca="false">'Title Economics'!I157-I59</f>
        <v>260624.381143463</v>
      </c>
      <c r="J60" s="41" t="n">
        <f aca="false">'Title Economics'!J157-J59</f>
        <v>231025.242670407</v>
      </c>
      <c r="K60" s="41" t="n">
        <f aca="false">'Title Economics'!K157-K59</f>
        <v>185585.758970131</v>
      </c>
      <c r="L60" s="41" t="n">
        <f aca="false">'Title Economics'!L157-L59</f>
        <v>98935.2459610312</v>
      </c>
      <c r="M60" s="41" t="n">
        <f aca="false">'Title Economics'!M157-M59</f>
        <v>87798.3728873903</v>
      </c>
      <c r="N60" s="41" t="n">
        <f aca="false">'Title Economics'!N157-N59</f>
        <v>77920.8358723551</v>
      </c>
      <c r="O60" s="41" t="n">
        <f aca="false">'Title Economics'!O157-O59</f>
        <v>69159.5213802733</v>
      </c>
      <c r="P60" s="41" t="n">
        <f aca="false">'Title Economics'!P157-P59</f>
        <v>61387.6684395671</v>
      </c>
      <c r="Q60" s="41" t="n">
        <f aca="false">'Title Economics'!Q157-Q59</f>
        <v>54492.98902174</v>
      </c>
      <c r="R60" s="41" t="n">
        <f aca="false">'Title Economics'!R157-R59</f>
        <v>48376.005866137</v>
      </c>
      <c r="S60" s="41" t="n">
        <f aca="false">'Title Economics'!S157-S59</f>
        <v>42948.5824199877</v>
      </c>
      <c r="T60" s="41" t="n">
        <f aca="false">'Title Economics'!T157-T59</f>
        <v>38132.6225359883</v>
      </c>
      <c r="U60" s="41" t="n">
        <f aca="false">'Title Economics'!U157-U59</f>
        <v>33858.9201907895</v>
      </c>
      <c r="V60" s="41" t="n">
        <f aca="false">'Title Economics'!V157-V59</f>
        <v>30066.141799155</v>
      </c>
      <c r="W60" s="41" t="n">
        <f aca="false">'Title Economics'!W157-W59</f>
        <v>26699.9257371814</v>
      </c>
      <c r="X60" s="41" t="n">
        <f aca="false">'Title Economics'!X157-X59</f>
        <v>23712.0854862495</v>
      </c>
      <c r="Y60" s="41" t="n">
        <f aca="false">'Title Economics'!Y157-Y59</f>
        <v>21059.9043958732</v>
      </c>
      <c r="Z60" s="41" t="n">
        <f aca="false">'Title Economics'!Z157-Z59</f>
        <v>18705.511463491</v>
      </c>
      <c r="AA60" s="41" t="n">
        <f aca="false">'Title Economics'!AA157-AA59</f>
        <v>16615.3287646139</v>
      </c>
      <c r="AB60" s="41" t="n">
        <f aca="false">'Title Economics'!AB157-AB59</f>
        <v>14759.5822570848</v>
      </c>
    </row>
    <row r="61" customFormat="false" ht="15" hidden="false" customHeight="false" outlineLevel="0" collapsed="false">
      <c r="A61" s="14"/>
      <c r="B61" s="8"/>
      <c r="C61" s="9" t="s">
        <v>253</v>
      </c>
      <c r="D61" s="34" t="n">
        <f aca="false">SUM(E61:AB61)</f>
        <v>13686896.2355414</v>
      </c>
      <c r="E61" s="41" t="n">
        <f aca="false">SUM($E$60:E60)</f>
        <v>-1047563.31125847</v>
      </c>
      <c r="F61" s="41" t="n">
        <f aca="false">SUM($E$60:F60)</f>
        <v>-800481.633815967</v>
      </c>
      <c r="G61" s="41" t="n">
        <f aca="false">SUM($E$60:G60)</f>
        <v>-529812.361778388</v>
      </c>
      <c r="H61" s="41" t="n">
        <f aca="false">SUM($E$60:H60)</f>
        <v>-276508.957851503</v>
      </c>
      <c r="I61" s="41" t="n">
        <f aca="false">SUM($E$60:I60)</f>
        <v>-15884.5767080405</v>
      </c>
      <c r="J61" s="41" t="n">
        <f aca="false">SUM($E$60:J60)</f>
        <v>215140.665962367</v>
      </c>
      <c r="K61" s="41" t="n">
        <f aca="false">SUM($E$60:K60)</f>
        <v>400726.424932498</v>
      </c>
      <c r="L61" s="41" t="n">
        <f aca="false">SUM($E$60:L60)</f>
        <v>499661.67089353</v>
      </c>
      <c r="M61" s="41" t="n">
        <f aca="false">SUM($E$60:M60)</f>
        <v>587460.04378092</v>
      </c>
      <c r="N61" s="41" t="n">
        <f aca="false">SUM($E$60:N60)</f>
        <v>665380.879653275</v>
      </c>
      <c r="O61" s="41" t="n">
        <f aca="false">SUM($E$60:O60)</f>
        <v>734540.401033548</v>
      </c>
      <c r="P61" s="41" t="n">
        <f aca="false">SUM($E$60:P60)</f>
        <v>795928.069473115</v>
      </c>
      <c r="Q61" s="41" t="n">
        <f aca="false">SUM($E$60:Q60)</f>
        <v>850421.058494855</v>
      </c>
      <c r="R61" s="41" t="n">
        <f aca="false">SUM($E$60:R60)</f>
        <v>898797.064360992</v>
      </c>
      <c r="S61" s="41" t="n">
        <f aca="false">SUM($E$60:S60)</f>
        <v>941745.64678098</v>
      </c>
      <c r="T61" s="41" t="n">
        <f aca="false">SUM($E$60:T60)</f>
        <v>979878.269316968</v>
      </c>
      <c r="U61" s="41" t="n">
        <f aca="false">SUM($E$60:U60)</f>
        <v>1013737.18950776</v>
      </c>
      <c r="V61" s="41" t="n">
        <f aca="false">SUM($E$60:V60)</f>
        <v>1043803.33130691</v>
      </c>
      <c r="W61" s="41" t="n">
        <f aca="false">SUM($E$60:W60)</f>
        <v>1070503.25704409</v>
      </c>
      <c r="X61" s="41" t="n">
        <f aca="false">SUM($E$60:X60)</f>
        <v>1094215.34253034</v>
      </c>
      <c r="Y61" s="41" t="n">
        <f aca="false">SUM($E$60:Y60)</f>
        <v>1115275.24692622</v>
      </c>
      <c r="Z61" s="41" t="n">
        <f aca="false">SUM($E$60:Z60)</f>
        <v>1133980.75838971</v>
      </c>
      <c r="AA61" s="41" t="n">
        <f aca="false">SUM($E$60:AA60)</f>
        <v>1150596.08715432</v>
      </c>
      <c r="AB61" s="41" t="n">
        <f aca="false">SUM($E$60:AB60)</f>
        <v>1165355.66941141</v>
      </c>
    </row>
    <row r="62" customFormat="false" ht="15" hidden="false" customHeight="false" outlineLevel="0" collapsed="false">
      <c r="A62" s="14"/>
      <c r="B62" s="8"/>
      <c r="C62" s="9" t="s">
        <v>254</v>
      </c>
      <c r="D62" s="27" t="n">
        <f aca="false">IFERROR(MATCH(1,E62:AB62,0),"n/a")</f>
        <v>6</v>
      </c>
      <c r="E62" s="40" t="n">
        <f aca="false">IF(MIN(E61:$AB$61)&gt;0,1,0)</f>
        <v>0</v>
      </c>
      <c r="F62" s="40" t="n">
        <f aca="false">IF(MIN(F61:$AB$61)&gt;0,1,0)</f>
        <v>0</v>
      </c>
      <c r="G62" s="40" t="n">
        <f aca="false">IF(MIN(G61:$AB$61)&gt;0,1,0)</f>
        <v>0</v>
      </c>
      <c r="H62" s="40" t="n">
        <f aca="false">IF(MIN(H61:$AB$61)&gt;0,1,0)</f>
        <v>0</v>
      </c>
      <c r="I62" s="40" t="n">
        <f aca="false">IF(MIN(I61:$AB$61)&gt;0,1,0)</f>
        <v>0</v>
      </c>
      <c r="J62" s="40" t="n">
        <f aca="false">IF(MIN(J61:$AB$61)&gt;0,1,0)</f>
        <v>1</v>
      </c>
      <c r="K62" s="40" t="n">
        <f aca="false">IF(MIN(K61:$AB$61)&gt;0,1,0)</f>
        <v>1</v>
      </c>
      <c r="L62" s="40" t="n">
        <f aca="false">IF(MIN(L61:$AB$61)&gt;0,1,0)</f>
        <v>1</v>
      </c>
      <c r="M62" s="40" t="n">
        <f aca="false">IF(MIN(M61:$AB$61)&gt;0,1,0)</f>
        <v>1</v>
      </c>
      <c r="N62" s="40" t="n">
        <f aca="false">IF(MIN(N61:$AB$61)&gt;0,1,0)</f>
        <v>1</v>
      </c>
      <c r="O62" s="40" t="n">
        <f aca="false">IF(MIN(O61:$AB$61)&gt;0,1,0)</f>
        <v>1</v>
      </c>
      <c r="P62" s="40" t="n">
        <f aca="false">IF(MIN(P61:$AB$61)&gt;0,1,0)</f>
        <v>1</v>
      </c>
      <c r="Q62" s="40" t="n">
        <f aca="false">IF(MIN(Q61:$AB$61)&gt;0,1,0)</f>
        <v>1</v>
      </c>
      <c r="R62" s="40" t="n">
        <f aca="false">IF(MIN(R61:$AB$61)&gt;0,1,0)</f>
        <v>1</v>
      </c>
      <c r="S62" s="40" t="n">
        <f aca="false">IF(MIN(S61:$AB$61)&gt;0,1,0)</f>
        <v>1</v>
      </c>
      <c r="T62" s="40" t="n">
        <f aca="false">IF(MIN(T61:$AB$61)&gt;0,1,0)</f>
        <v>1</v>
      </c>
      <c r="U62" s="40" t="n">
        <f aca="false">IF(MIN(U61:$AB$61)&gt;0,1,0)</f>
        <v>1</v>
      </c>
      <c r="V62" s="40" t="n">
        <f aca="false">IF(MIN(V61:$AB$61)&gt;0,1,0)</f>
        <v>1</v>
      </c>
      <c r="W62" s="40" t="n">
        <f aca="false">IF(MIN(W61:$AB$61)&gt;0,1,0)</f>
        <v>1</v>
      </c>
      <c r="X62" s="40" t="n">
        <f aca="false">IF(MIN(X61:$AB$61)&gt;0,1,0)</f>
        <v>1</v>
      </c>
      <c r="Y62" s="40" t="n">
        <f aca="false">IF(MIN(Y61:$AB$61)&gt;0,1,0)</f>
        <v>1</v>
      </c>
      <c r="Z62" s="40" t="n">
        <f aca="false">IF(MIN(Z61:$AB$61)&gt;0,1,0)</f>
        <v>1</v>
      </c>
      <c r="AA62" s="40" t="n">
        <f aca="false">IF(MIN(AA61:$AB$61)&gt;0,1,0)</f>
        <v>1</v>
      </c>
      <c r="AB62" s="40" t="n">
        <f aca="false">IF(MIN(AB61:$AB$61)&gt;0,1,0)</f>
        <v>1</v>
      </c>
    </row>
    <row r="64" customFormat="false" ht="15" hidden="false" customHeight="false" outlineLevel="0" collapsed="false">
      <c r="A64" s="14" t="s">
        <v>210</v>
      </c>
      <c r="B64" s="8" t="s">
        <v>259</v>
      </c>
      <c r="C64" s="9" t="s">
        <v>205</v>
      </c>
      <c r="D64" s="27" t="n">
        <f aca="false">AB64</f>
        <v>17921711.0348028</v>
      </c>
      <c r="E64" s="40" t="n">
        <f aca="false">'Monthly Viewing Forecast'!E119</f>
        <v>2185639.9552309</v>
      </c>
      <c r="F64" s="40" t="n">
        <f aca="false">'Monthly Viewing Forecast'!F119</f>
        <v>4117436.24091647</v>
      </c>
      <c r="G64" s="40" t="n">
        <f aca="false">'Monthly Viewing Forecast'!G119</f>
        <v>5825099.95943726</v>
      </c>
      <c r="H64" s="40" t="n">
        <f aca="false">'Monthly Viewing Forecast'!H119</f>
        <v>7334835.74207832</v>
      </c>
      <c r="I64" s="40" t="n">
        <f aca="false">'Monthly Viewing Forecast'!I119</f>
        <v>8669759.22523649</v>
      </c>
      <c r="J64" s="40" t="n">
        <f aca="false">'Monthly Viewing Forecast'!J119</f>
        <v>9850264.36394795</v>
      </c>
      <c r="K64" s="40" t="n">
        <f aca="false">'Monthly Viewing Forecast'!K119</f>
        <v>10894346.667621</v>
      </c>
      <c r="L64" s="40" t="n">
        <f aca="false">'Monthly Viewing Forecast'!L119</f>
        <v>11817887.6975576</v>
      </c>
      <c r="M64" s="40" t="n">
        <f aca="false">'Monthly Viewing Forecast'!M119</f>
        <v>12634905.5127289</v>
      </c>
      <c r="N64" s="40" t="n">
        <f aca="false">'Monthly Viewing Forecast'!N119</f>
        <v>13357775.177821</v>
      </c>
      <c r="O64" s="40" t="n">
        <f aca="false">'Monthly Viewing Forecast'!O119</f>
        <v>13997422.9457278</v>
      </c>
      <c r="P64" s="40" t="n">
        <f aca="false">'Monthly Viewing Forecast'!P119</f>
        <v>14563497.2866429</v>
      </c>
      <c r="Q64" s="40" t="n">
        <f aca="false">'Monthly Viewing Forecast'!Q119</f>
        <v>15064519.5500024</v>
      </c>
      <c r="R64" s="40" t="n">
        <f aca="false">'Monthly Viewing Forecast'!R119</f>
        <v>15508016.7070345</v>
      </c>
      <c r="S64" s="40" t="n">
        <f aca="false">'Monthly Viewing Forecast'!S119</f>
        <v>15900638.3246999</v>
      </c>
      <c r="T64" s="40" t="n">
        <f aca="false">'Monthly Viewing Forecast'!T119</f>
        <v>16248259.6612126</v>
      </c>
      <c r="U64" s="40" t="n">
        <f aca="false">'Monthly Viewing Forecast'!U119</f>
        <v>16556072.5446174</v>
      </c>
      <c r="V64" s="40" t="n">
        <f aca="false">'Monthly Viewing Forecast'!V119</f>
        <v>16828665.4951293</v>
      </c>
      <c r="W64" s="40" t="n">
        <f aca="false">'Monthly Viewing Forecast'!W119</f>
        <v>17070094.3756609</v>
      </c>
      <c r="X64" s="40" t="n">
        <f aca="false">'Monthly Viewing Forecast'!X119</f>
        <v>17283944.7001661</v>
      </c>
      <c r="Y64" s="40" t="n">
        <f aca="false">'Monthly Viewing Forecast'!Y119</f>
        <v>17473386.5934616</v>
      </c>
      <c r="Z64" s="40" t="n">
        <f aca="false">'Monthly Viewing Forecast'!Z119</f>
        <v>17641223.2767423</v>
      </c>
      <c r="AA64" s="40" t="n">
        <f aca="false">'Monthly Viewing Forecast'!AA119</f>
        <v>17789933.8480606</v>
      </c>
      <c r="AB64" s="40" t="n">
        <f aca="false">'Monthly Viewing Forecast'!AB119</f>
        <v>17921711.0348028</v>
      </c>
    </row>
    <row r="65" customFormat="false" ht="15" hidden="false" customHeight="false" outlineLevel="0" collapsed="false">
      <c r="A65" s="14"/>
      <c r="B65" s="8"/>
      <c r="C65" s="8" t="s">
        <v>251</v>
      </c>
      <c r="D65" s="34" t="n">
        <f aca="false">SUM(E65:AB65)</f>
        <v>1650000</v>
      </c>
      <c r="E65" s="41" t="n">
        <f aca="false">IF(E$4=1,Assumptions!$C$41,0)+IF(E$4=12,IF(E64&gt;=Assumptions!$C$43,Assumptions!$C$42,0),0)+IF(E$4=18,IF(E64&gt;=Assumptions!$C$45,Assumptions!$C$44,0),0)+IF(E$4=24,IF(E64&gt;=Assumptions!$C$47,Assumptions!$C$46,0),0)</f>
        <v>850000</v>
      </c>
      <c r="F65" s="41" t="n">
        <f aca="false">IF(F$4=1,Assumptions!$C$41,0)+IF(F$4=12,IF(F64&gt;=Assumptions!$C$43,Assumptions!$C$42,0),0)+IF(F$4=18,IF(F64&gt;=Assumptions!$C$45,Assumptions!$C$44,0),0)+IF(F$4=24,IF(F64&gt;=Assumptions!$C$47,Assumptions!$C$46,0),0)</f>
        <v>0</v>
      </c>
      <c r="G65" s="41" t="n">
        <f aca="false">IF(G$4=1,Assumptions!$C$41,0)+IF(G$4=12,IF(G64&gt;=Assumptions!$C$43,Assumptions!$C$42,0),0)+IF(G$4=18,IF(G64&gt;=Assumptions!$C$45,Assumptions!$C$44,0),0)+IF(G$4=24,IF(G64&gt;=Assumptions!$C$47,Assumptions!$C$46,0),0)</f>
        <v>0</v>
      </c>
      <c r="H65" s="41" t="n">
        <f aca="false">IF(H$4=1,Assumptions!$C$41,0)+IF(H$4=12,IF(H64&gt;=Assumptions!$C$43,Assumptions!$C$42,0),0)+IF(H$4=18,IF(H64&gt;=Assumptions!$C$45,Assumptions!$C$44,0),0)+IF(H$4=24,IF(H64&gt;=Assumptions!$C$47,Assumptions!$C$46,0),0)</f>
        <v>0</v>
      </c>
      <c r="I65" s="41" t="n">
        <f aca="false">IF(I$4=1,Assumptions!$C$41,0)+IF(I$4=12,IF(I64&gt;=Assumptions!$C$43,Assumptions!$C$42,0),0)+IF(I$4=18,IF(I64&gt;=Assumptions!$C$45,Assumptions!$C$44,0),0)+IF(I$4=24,IF(I64&gt;=Assumptions!$C$47,Assumptions!$C$46,0),0)</f>
        <v>0</v>
      </c>
      <c r="J65" s="41" t="n">
        <f aca="false">IF(J$4=1,Assumptions!$C$41,0)+IF(J$4=12,IF(J64&gt;=Assumptions!$C$43,Assumptions!$C$42,0),0)+IF(J$4=18,IF(J64&gt;=Assumptions!$C$45,Assumptions!$C$44,0),0)+IF(J$4=24,IF(J64&gt;=Assumptions!$C$47,Assumptions!$C$46,0),0)</f>
        <v>0</v>
      </c>
      <c r="K65" s="41" t="n">
        <f aca="false">IF(K$4=1,Assumptions!$C$41,0)+IF(K$4=12,IF(K64&gt;=Assumptions!$C$43,Assumptions!$C$42,0),0)+IF(K$4=18,IF(K64&gt;=Assumptions!$C$45,Assumptions!$C$44,0),0)+IF(K$4=24,IF(K64&gt;=Assumptions!$C$47,Assumptions!$C$46,0),0)</f>
        <v>0</v>
      </c>
      <c r="L65" s="41" t="n">
        <f aca="false">IF(L$4=1,Assumptions!$C$41,0)+IF(L$4=12,IF(L64&gt;=Assumptions!$C$43,Assumptions!$C$42,0),0)+IF(L$4=18,IF(L64&gt;=Assumptions!$C$45,Assumptions!$C$44,0),0)+IF(L$4=24,IF(L64&gt;=Assumptions!$C$47,Assumptions!$C$46,0),0)</f>
        <v>0</v>
      </c>
      <c r="M65" s="41" t="n">
        <f aca="false">IF(M$4=1,Assumptions!$C$41,0)+IF(M$4=12,IF(M64&gt;=Assumptions!$C$43,Assumptions!$C$42,0),0)+IF(M$4=18,IF(M64&gt;=Assumptions!$C$45,Assumptions!$C$44,0),0)+IF(M$4=24,IF(M64&gt;=Assumptions!$C$47,Assumptions!$C$46,0),0)</f>
        <v>0</v>
      </c>
      <c r="N65" s="41" t="n">
        <f aca="false">IF(N$4=1,Assumptions!$C$41,0)+IF(N$4=12,IF(N64&gt;=Assumptions!$C$43,Assumptions!$C$42,0),0)+IF(N$4=18,IF(N64&gt;=Assumptions!$C$45,Assumptions!$C$44,0),0)+IF(N$4=24,IF(N64&gt;=Assumptions!$C$47,Assumptions!$C$46,0),0)</f>
        <v>0</v>
      </c>
      <c r="O65" s="41" t="n">
        <f aca="false">IF(O$4=1,Assumptions!$C$41,0)+IF(O$4=12,IF(O64&gt;=Assumptions!$C$43,Assumptions!$C$42,0),0)+IF(O$4=18,IF(O64&gt;=Assumptions!$C$45,Assumptions!$C$44,0),0)+IF(O$4=24,IF(O64&gt;=Assumptions!$C$47,Assumptions!$C$46,0),0)</f>
        <v>0</v>
      </c>
      <c r="P65" s="41" t="n">
        <f aca="false">IF(P$4=1,Assumptions!$C$41,0)+IF(P$4=12,IF(P64&gt;=Assumptions!$C$43,Assumptions!$C$42,0),0)+IF(P$4=18,IF(P64&gt;=Assumptions!$C$45,Assumptions!$C$44,0),0)+IF(P$4=24,IF(P64&gt;=Assumptions!$C$47,Assumptions!$C$46,0),0)</f>
        <v>250000</v>
      </c>
      <c r="Q65" s="41" t="n">
        <f aca="false">IF(Q$4=1,Assumptions!$C$41,0)+IF(Q$4=12,IF(Q64&gt;=Assumptions!$C$43,Assumptions!$C$42,0),0)+IF(Q$4=18,IF(Q64&gt;=Assumptions!$C$45,Assumptions!$C$44,0),0)+IF(Q$4=24,IF(Q64&gt;=Assumptions!$C$47,Assumptions!$C$46,0),0)</f>
        <v>0</v>
      </c>
      <c r="R65" s="41" t="n">
        <f aca="false">IF(R$4=1,Assumptions!$C$41,0)+IF(R$4=12,IF(R64&gt;=Assumptions!$C$43,Assumptions!$C$42,0),0)+IF(R$4=18,IF(R64&gt;=Assumptions!$C$45,Assumptions!$C$44,0),0)+IF(R$4=24,IF(R64&gt;=Assumptions!$C$47,Assumptions!$C$46,0),0)</f>
        <v>0</v>
      </c>
      <c r="S65" s="41" t="n">
        <f aca="false">IF(S$4=1,Assumptions!$C$41,0)+IF(S$4=12,IF(S64&gt;=Assumptions!$C$43,Assumptions!$C$42,0),0)+IF(S$4=18,IF(S64&gt;=Assumptions!$C$45,Assumptions!$C$44,0),0)+IF(S$4=24,IF(S64&gt;=Assumptions!$C$47,Assumptions!$C$46,0),0)</f>
        <v>0</v>
      </c>
      <c r="T65" s="41" t="n">
        <f aca="false">IF(T$4=1,Assumptions!$C$41,0)+IF(T$4=12,IF(T64&gt;=Assumptions!$C$43,Assumptions!$C$42,0),0)+IF(T$4=18,IF(T64&gt;=Assumptions!$C$45,Assumptions!$C$44,0),0)+IF(T$4=24,IF(T64&gt;=Assumptions!$C$47,Assumptions!$C$46,0),0)</f>
        <v>0</v>
      </c>
      <c r="U65" s="41" t="n">
        <f aca="false">IF(U$4=1,Assumptions!$C$41,0)+IF(U$4=12,IF(U64&gt;=Assumptions!$C$43,Assumptions!$C$42,0),0)+IF(U$4=18,IF(U64&gt;=Assumptions!$C$45,Assumptions!$C$44,0),0)+IF(U$4=24,IF(U64&gt;=Assumptions!$C$47,Assumptions!$C$46,0),0)</f>
        <v>0</v>
      </c>
      <c r="V65" s="41" t="n">
        <f aca="false">IF(V$4=1,Assumptions!$C$41,0)+IF(V$4=12,IF(V64&gt;=Assumptions!$C$43,Assumptions!$C$42,0),0)+IF(V$4=18,IF(V64&gt;=Assumptions!$C$45,Assumptions!$C$44,0),0)+IF(V$4=24,IF(V64&gt;=Assumptions!$C$47,Assumptions!$C$46,0),0)</f>
        <v>250000</v>
      </c>
      <c r="W65" s="41" t="n">
        <f aca="false">IF(W$4=1,Assumptions!$C$41,0)+IF(W$4=12,IF(W64&gt;=Assumptions!$C$43,Assumptions!$C$42,0),0)+IF(W$4=18,IF(W64&gt;=Assumptions!$C$45,Assumptions!$C$44,0),0)+IF(W$4=24,IF(W64&gt;=Assumptions!$C$47,Assumptions!$C$46,0),0)</f>
        <v>0</v>
      </c>
      <c r="X65" s="41" t="n">
        <f aca="false">IF(X$4=1,Assumptions!$C$41,0)+IF(X$4=12,IF(X64&gt;=Assumptions!$C$43,Assumptions!$C$42,0),0)+IF(X$4=18,IF(X64&gt;=Assumptions!$C$45,Assumptions!$C$44,0),0)+IF(X$4=24,IF(X64&gt;=Assumptions!$C$47,Assumptions!$C$46,0),0)</f>
        <v>0</v>
      </c>
      <c r="Y65" s="41" t="n">
        <f aca="false">IF(Y$4=1,Assumptions!$C$41,0)+IF(Y$4=12,IF(Y64&gt;=Assumptions!$C$43,Assumptions!$C$42,0),0)+IF(Y$4=18,IF(Y64&gt;=Assumptions!$C$45,Assumptions!$C$44,0),0)+IF(Y$4=24,IF(Y64&gt;=Assumptions!$C$47,Assumptions!$C$46,0),0)</f>
        <v>0</v>
      </c>
      <c r="Z65" s="41" t="n">
        <f aca="false">IF(Z$4=1,Assumptions!$C$41,0)+IF(Z$4=12,IF(Z64&gt;=Assumptions!$C$43,Assumptions!$C$42,0),0)+IF(Z$4=18,IF(Z64&gt;=Assumptions!$C$45,Assumptions!$C$44,0),0)+IF(Z$4=24,IF(Z64&gt;=Assumptions!$C$47,Assumptions!$C$46,0),0)</f>
        <v>0</v>
      </c>
      <c r="AA65" s="41" t="n">
        <f aca="false">IF(AA$4=1,Assumptions!$C$41,0)+IF(AA$4=12,IF(AA64&gt;=Assumptions!$C$43,Assumptions!$C$42,0),0)+IF(AA$4=18,IF(AA64&gt;=Assumptions!$C$45,Assumptions!$C$44,0),0)+IF(AA$4=24,IF(AA64&gt;=Assumptions!$C$47,Assumptions!$C$46,0),0)</f>
        <v>0</v>
      </c>
      <c r="AB65" s="41" t="n">
        <f aca="false">IF(AB$4=1,Assumptions!$C$41,0)+IF(AB$4=12,IF(AB64&gt;=Assumptions!$C$43,Assumptions!$C$42,0),0)+IF(AB$4=18,IF(AB64&gt;=Assumptions!$C$45,Assumptions!$C$44,0),0)+IF(AB$4=24,IF(AB64&gt;=Assumptions!$C$47,Assumptions!$C$46,0),0)</f>
        <v>300000</v>
      </c>
    </row>
    <row r="66" customFormat="false" ht="15" hidden="false" customHeight="false" outlineLevel="0" collapsed="false">
      <c r="A66" s="14"/>
      <c r="B66" s="8"/>
      <c r="C66" s="9" t="s">
        <v>252</v>
      </c>
      <c r="D66" s="34" t="n">
        <f aca="false">SUM(E66:AB66)</f>
        <v>1117362.14358904</v>
      </c>
      <c r="E66" s="41" t="n">
        <f aca="false">'Title Economics'!E157-E65</f>
        <v>-947563.311258469</v>
      </c>
      <c r="F66" s="41" t="n">
        <f aca="false">'Title Economics'!F157-F65</f>
        <v>247081.677442502</v>
      </c>
      <c r="G66" s="41" t="n">
        <f aca="false">'Title Economics'!G157-G65</f>
        <v>270669.272037579</v>
      </c>
      <c r="H66" s="41" t="n">
        <f aca="false">'Title Economics'!H157-H65</f>
        <v>253303.403926884</v>
      </c>
      <c r="I66" s="41" t="n">
        <f aca="false">'Title Economics'!I157-I65</f>
        <v>260624.381143463</v>
      </c>
      <c r="J66" s="41" t="n">
        <f aca="false">'Title Economics'!J157-J65</f>
        <v>231025.242670407</v>
      </c>
      <c r="K66" s="41" t="n">
        <f aca="false">'Title Economics'!K157-K65</f>
        <v>204806.632766297</v>
      </c>
      <c r="L66" s="41" t="n">
        <f aca="false">'Title Economics'!L157-L65</f>
        <v>181580.073926062</v>
      </c>
      <c r="M66" s="41" t="n">
        <f aca="false">'Title Economics'!M157-M65</f>
        <v>161002.03167656</v>
      </c>
      <c r="N66" s="41" t="n">
        <f aca="false">'Title Economics'!N157-N65</f>
        <v>142768.677212481</v>
      </c>
      <c r="O66" s="41" t="n">
        <f aca="false">'Title Economics'!O157-O65</f>
        <v>126611.265134754</v>
      </c>
      <c r="P66" s="41" t="n">
        <f aca="false">'Title Economics'!P157-P65</f>
        <v>-137707.946550264</v>
      </c>
      <c r="Q66" s="41" t="n">
        <f aca="false">'Title Economics'!Q157-Q65</f>
        <v>99600.7016890497</v>
      </c>
      <c r="R66" s="41" t="n">
        <f aca="false">'Title Economics'!R157-R65</f>
        <v>88351.0906625685</v>
      </c>
      <c r="S66" s="41" t="n">
        <f aca="false">'Title Economics'!S157-S65</f>
        <v>78378.5140883912</v>
      </c>
      <c r="T66" s="41" t="n">
        <f aca="false">'Title Economics'!T157-T65</f>
        <v>69537.1982655826</v>
      </c>
      <c r="U66" s="41" t="n">
        <f aca="false">'Title Economics'!U157-U65</f>
        <v>61698.1111662765</v>
      </c>
      <c r="V66" s="41" t="n">
        <f aca="false">'Title Economics'!V157-V65</f>
        <v>-195252.97309041</v>
      </c>
      <c r="W66" s="41" t="n">
        <f aca="false">'Title Economics'!W157-W65</f>
        <v>48582.8156163454</v>
      </c>
      <c r="X66" s="41" t="n">
        <f aca="false">'Title Economics'!X157-X65</f>
        <v>43115.9321972318</v>
      </c>
      <c r="Y66" s="41" t="n">
        <f aca="false">'Title Economics'!Y157-Y65</f>
        <v>38267.0807560727</v>
      </c>
      <c r="Z66" s="41" t="n">
        <f aca="false">'Title Economics'!Z157-Z65</f>
        <v>33966.0340454797</v>
      </c>
      <c r="AA66" s="41" t="n">
        <f aca="false">'Title Economics'!AA157-AA65</f>
        <v>30150.5898393457</v>
      </c>
      <c r="AB66" s="41" t="n">
        <f aca="false">'Title Economics'!AB157-AB65</f>
        <v>-273234.351775146</v>
      </c>
    </row>
    <row r="67" customFormat="false" ht="15" hidden="false" customHeight="false" outlineLevel="0" collapsed="false">
      <c r="A67" s="14"/>
      <c r="B67" s="8"/>
      <c r="C67" s="9" t="s">
        <v>253</v>
      </c>
      <c r="D67" s="34" t="n">
        <f aca="false">SUM(E67:AB67)</f>
        <v>18543333.7584312</v>
      </c>
      <c r="E67" s="41" t="n">
        <f aca="false">SUM($E$66:E66)</f>
        <v>-947563.311258469</v>
      </c>
      <c r="F67" s="41" t="n">
        <f aca="false">SUM($E$66:F66)</f>
        <v>-700481.633815967</v>
      </c>
      <c r="G67" s="41" t="n">
        <f aca="false">SUM($E$66:G66)</f>
        <v>-429812.361778388</v>
      </c>
      <c r="H67" s="41" t="n">
        <f aca="false">SUM($E$66:H66)</f>
        <v>-176508.957851503</v>
      </c>
      <c r="I67" s="41" t="n">
        <f aca="false">SUM($E$66:I66)</f>
        <v>84115.4232919595</v>
      </c>
      <c r="J67" s="41" t="n">
        <f aca="false">SUM($E$66:J66)</f>
        <v>315140.665962367</v>
      </c>
      <c r="K67" s="41" t="n">
        <f aca="false">SUM($E$66:K66)</f>
        <v>519947.298728664</v>
      </c>
      <c r="L67" s="41" t="n">
        <f aca="false">SUM($E$66:L66)</f>
        <v>701527.372654725</v>
      </c>
      <c r="M67" s="41" t="n">
        <f aca="false">SUM($E$66:M66)</f>
        <v>862529.404331285</v>
      </c>
      <c r="N67" s="41" t="n">
        <f aca="false">SUM($E$66:N66)</f>
        <v>1005298.08154377</v>
      </c>
      <c r="O67" s="41" t="n">
        <f aca="false">SUM($E$66:O66)</f>
        <v>1131909.34667852</v>
      </c>
      <c r="P67" s="41" t="n">
        <f aca="false">SUM($E$66:P66)</f>
        <v>994201.400128257</v>
      </c>
      <c r="Q67" s="41" t="n">
        <f aca="false">SUM($E$66:Q66)</f>
        <v>1093802.10181731</v>
      </c>
      <c r="R67" s="41" t="n">
        <f aca="false">SUM($E$66:R66)</f>
        <v>1182153.19247988</v>
      </c>
      <c r="S67" s="41" t="n">
        <f aca="false">SUM($E$66:S66)</f>
        <v>1260531.70656827</v>
      </c>
      <c r="T67" s="41" t="n">
        <f aca="false">SUM($E$66:T66)</f>
        <v>1330068.90483385</v>
      </c>
      <c r="U67" s="41" t="n">
        <f aca="false">SUM($E$66:U66)</f>
        <v>1391767.01600013</v>
      </c>
      <c r="V67" s="41" t="n">
        <f aca="false">SUM($E$66:V66)</f>
        <v>1196514.04290972</v>
      </c>
      <c r="W67" s="41" t="n">
        <f aca="false">SUM($E$66:W66)</f>
        <v>1245096.85852606</v>
      </c>
      <c r="X67" s="41" t="n">
        <f aca="false">SUM($E$66:X66)</f>
        <v>1288212.79072329</v>
      </c>
      <c r="Y67" s="41" t="n">
        <f aca="false">SUM($E$66:Y66)</f>
        <v>1326479.87147937</v>
      </c>
      <c r="Z67" s="41" t="n">
        <f aca="false">SUM($E$66:Z66)</f>
        <v>1360445.90552484</v>
      </c>
      <c r="AA67" s="41" t="n">
        <f aca="false">SUM($E$66:AA66)</f>
        <v>1390596.49536419</v>
      </c>
      <c r="AB67" s="41" t="n">
        <f aca="false">SUM($E$66:AB66)</f>
        <v>1117362.14358904</v>
      </c>
    </row>
    <row r="68" customFormat="false" ht="15" hidden="false" customHeight="false" outlineLevel="0" collapsed="false">
      <c r="A68" s="14"/>
      <c r="B68" s="8"/>
      <c r="C68" s="9" t="s">
        <v>254</v>
      </c>
      <c r="D68" s="27" t="n">
        <f aca="false">IFERROR(MATCH(1,E68:AB68,0),"n/a")</f>
        <v>5</v>
      </c>
      <c r="E68" s="40" t="n">
        <f aca="false">IF(MIN(E67:$AB$67)&gt;0,1,0)</f>
        <v>0</v>
      </c>
      <c r="F68" s="40" t="n">
        <f aca="false">IF(MIN(F67:$AB$67)&gt;0,1,0)</f>
        <v>0</v>
      </c>
      <c r="G68" s="40" t="n">
        <f aca="false">IF(MIN(G67:$AB$67)&gt;0,1,0)</f>
        <v>0</v>
      </c>
      <c r="H68" s="40" t="n">
        <f aca="false">IF(MIN(H67:$AB$67)&gt;0,1,0)</f>
        <v>0</v>
      </c>
      <c r="I68" s="40" t="n">
        <f aca="false">IF(MIN(I67:$AB$67)&gt;0,1,0)</f>
        <v>1</v>
      </c>
      <c r="J68" s="40" t="n">
        <f aca="false">IF(MIN(J67:$AB$67)&gt;0,1,0)</f>
        <v>1</v>
      </c>
      <c r="K68" s="40" t="n">
        <f aca="false">IF(MIN(K67:$AB$67)&gt;0,1,0)</f>
        <v>1</v>
      </c>
      <c r="L68" s="40" t="n">
        <f aca="false">IF(MIN(L67:$AB$67)&gt;0,1,0)</f>
        <v>1</v>
      </c>
      <c r="M68" s="40" t="n">
        <f aca="false">IF(MIN(M67:$AB$67)&gt;0,1,0)</f>
        <v>1</v>
      </c>
      <c r="N68" s="40" t="n">
        <f aca="false">IF(MIN(N67:$AB$67)&gt;0,1,0)</f>
        <v>1</v>
      </c>
      <c r="O68" s="40" t="n">
        <f aca="false">IF(MIN(O67:$AB$67)&gt;0,1,0)</f>
        <v>1</v>
      </c>
      <c r="P68" s="40" t="n">
        <f aca="false">IF(MIN(P67:$AB$67)&gt;0,1,0)</f>
        <v>1</v>
      </c>
      <c r="Q68" s="40" t="n">
        <f aca="false">IF(MIN(Q67:$AB$67)&gt;0,1,0)</f>
        <v>1</v>
      </c>
      <c r="R68" s="40" t="n">
        <f aca="false">IF(MIN(R67:$AB$67)&gt;0,1,0)</f>
        <v>1</v>
      </c>
      <c r="S68" s="40" t="n">
        <f aca="false">IF(MIN(S67:$AB$67)&gt;0,1,0)</f>
        <v>1</v>
      </c>
      <c r="T68" s="40" t="n">
        <f aca="false">IF(MIN(T67:$AB$67)&gt;0,1,0)</f>
        <v>1</v>
      </c>
      <c r="U68" s="40" t="n">
        <f aca="false">IF(MIN(U67:$AB$67)&gt;0,1,0)</f>
        <v>1</v>
      </c>
      <c r="V68" s="40" t="n">
        <f aca="false">IF(MIN(V67:$AB$67)&gt;0,1,0)</f>
        <v>1</v>
      </c>
      <c r="W68" s="40" t="n">
        <f aca="false">IF(MIN(W67:$AB$67)&gt;0,1,0)</f>
        <v>1</v>
      </c>
      <c r="X68" s="40" t="n">
        <f aca="false">IF(MIN(X67:$AB$67)&gt;0,1,0)</f>
        <v>1</v>
      </c>
      <c r="Y68" s="40" t="n">
        <f aca="false">IF(MIN(Y67:$AB$67)&gt;0,1,0)</f>
        <v>1</v>
      </c>
      <c r="Z68" s="40" t="n">
        <f aca="false">IF(MIN(Z67:$AB$67)&gt;0,1,0)</f>
        <v>1</v>
      </c>
      <c r="AA68" s="40" t="n">
        <f aca="false">IF(MIN(AA67:$AB$67)&gt;0,1,0)</f>
        <v>1</v>
      </c>
      <c r="AB68" s="40" t="n">
        <f aca="false">IF(MIN(AB67:$AB$67)&gt;0,1,0)</f>
        <v>1</v>
      </c>
    </row>
    <row r="71" customFormat="false" ht="15" hidden="false" customHeight="false" outlineLevel="0" collapsed="false">
      <c r="A71" s="5" t="s">
        <v>260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30" hidden="false" customHeight="true" outlineLevel="0" collapsed="false">
      <c r="A72" s="23" t="s">
        <v>261</v>
      </c>
      <c r="C72" s="47" t="s">
        <v>250</v>
      </c>
      <c r="D72" s="47" t="s">
        <v>255</v>
      </c>
      <c r="E72" s="47" t="s">
        <v>259</v>
      </c>
    </row>
    <row r="73" customFormat="false" ht="15" hidden="false" customHeight="false" outlineLevel="0" collapsed="false">
      <c r="A73" s="9" t="s">
        <v>262</v>
      </c>
      <c r="C73" s="41" t="n">
        <f aca="false">'Deal Structures'!$D$30</f>
        <v>1498516.65585667</v>
      </c>
      <c r="D73" s="41" t="n">
        <f aca="false">'Deal Structures'!$D$38</f>
        <v>1351902.9577298</v>
      </c>
      <c r="E73" s="41" t="n">
        <f aca="false">'Deal Structures'!$D$44</f>
        <v>1350000</v>
      </c>
    </row>
    <row r="74" customFormat="false" ht="15" hidden="false" customHeight="false" outlineLevel="0" collapsed="false">
      <c r="A74" s="9" t="s">
        <v>263</v>
      </c>
      <c r="C74" s="41" t="n">
        <f aca="false">SUMPRODUCT('Deal Structures'!$E$30:$AB$30,'Title Economics'!$E$6:$AB$6)</f>
        <v>1443543.41601966</v>
      </c>
      <c r="D74" s="41" t="n">
        <f aca="false">SUMPRODUCT('Deal Structures'!$E$38:$AB$38,'Title Economics'!$E$6:$AB$6)</f>
        <v>1292294.15227243</v>
      </c>
      <c r="E74" s="41" t="n">
        <f aca="false">SUMPRODUCT('Deal Structures'!$E$44:$AB$44,'Title Economics'!$E$6:$AB$6)</f>
        <v>1276142.29863617</v>
      </c>
    </row>
    <row r="75" customFormat="false" ht="15" hidden="false" customHeight="false" outlineLevel="0" collapsed="false">
      <c r="A75" s="9" t="s">
        <v>264</v>
      </c>
      <c r="C75" s="41" t="n">
        <f aca="false">'Title Economics'!$D$107-SUMPRODUCT('Deal Structures'!$E$30:$AB$30,'Title Economics'!$E$6:$AB$6)</f>
        <v>496418.043055488</v>
      </c>
      <c r="D75" s="41" t="n">
        <f aca="false">'Title Economics'!$D$107-SUMPRODUCT('Deal Structures'!$E$38:$AB$38,'Title Economics'!$E$6:$AB$6)</f>
        <v>647667.306802724</v>
      </c>
      <c r="E75" s="41" t="n">
        <f aca="false">'Title Economics'!$D$107-SUMPRODUCT('Deal Structures'!$E$44:$AB$44,'Title Economics'!$E$6:$AB$6)</f>
        <v>663819.160438985</v>
      </c>
    </row>
    <row r="76" customFormat="false" ht="15" hidden="false" customHeight="false" outlineLevel="0" collapsed="false">
      <c r="A76" s="9" t="s">
        <v>265</v>
      </c>
      <c r="C76" s="21" t="n">
        <f aca="false">('Title Economics'!$D$105-('Title Economics'!$D$106+SUMPRODUCT('Deal Structures'!$E$30:$AB$30,'Title Economics'!$E$6:$AB$6)))/('Title Economics'!$D$106+SUMPRODUCT('Deal Structures'!$E$30:$AB$30,'Title Economics'!$E$6:$AB$6))</f>
        <v>0.2</v>
      </c>
      <c r="D76" s="21" t="n">
        <f aca="false">('Title Economics'!$D$105-('Title Economics'!$D$106+SUMPRODUCT('Deal Structures'!$E$38:$AB$38,'Title Economics'!$E$6:$AB$6)))/('Title Economics'!$D$106+SUMPRODUCT('Deal Structures'!$E$38:$AB$38,'Title Economics'!$E$6:$AB$6))</f>
        <v>0.27786851195382</v>
      </c>
      <c r="E76" s="21" t="n">
        <f aca="false">('Title Economics'!$D$105-('Title Economics'!$D$106+SUMPRODUCT('Deal Structures'!$E$44:$AB$44,'Title Economics'!$E$6:$AB$6)))/('Title Economics'!$D$106+SUMPRODUCT('Deal Structures'!$E$44:$AB$44,'Title Economics'!$E$6:$AB$6))</f>
        <v>0.286785452544349</v>
      </c>
    </row>
    <row r="77" customFormat="false" ht="15" hidden="false" customHeight="false" outlineLevel="0" collapsed="false">
      <c r="A77" s="9" t="s">
        <v>266</v>
      </c>
      <c r="C77" s="41" t="n">
        <f aca="false">'Deal Structures'!$D$9</f>
        <v>1498516.65585667</v>
      </c>
      <c r="D77" s="41" t="n">
        <f aca="false">'Deal Structures'!$D$17</f>
        <v>1156795.9774379</v>
      </c>
      <c r="E77" s="41" t="n">
        <f aca="false">'Deal Structures'!$D$23</f>
        <v>850000</v>
      </c>
    </row>
    <row r="78" customFormat="false" ht="15" hidden="false" customHeight="false" outlineLevel="0" collapsed="false">
      <c r="A78" s="9" t="s">
        <v>267</v>
      </c>
      <c r="C78" s="41" t="n">
        <f aca="false">'Title Economics'!$D$54-SUMPRODUCT('Deal Structures'!$E$9:$AB$9,'Title Economics'!$E$6:$AB$6)</f>
        <v>15172.8120827787</v>
      </c>
      <c r="D78" s="41" t="n">
        <f aca="false">'Title Economics'!$D$54-SUMPRODUCT('Deal Structures'!$E$17:$AB$17,'Title Economics'!$E$6:$AB$6)</f>
        <v>340355.888588211</v>
      </c>
      <c r="E78" s="41" t="n">
        <f aca="false">'Title Economics'!$D$54-SUMPRODUCT('Deal Structures'!$E$23:$AB$23,'Title Economics'!$E$6:$AB$6)</f>
        <v>616705.889850889</v>
      </c>
    </row>
    <row r="79" customFormat="false" ht="15" hidden="false" customHeight="false" outlineLevel="0" collapsed="false">
      <c r="A79" s="9" t="s">
        <v>268</v>
      </c>
      <c r="C79" s="41" t="n">
        <f aca="false">'Title Economics'!$D$160-SUMPRODUCT('Deal Structures'!$E$51:$AB$51,'Title Economics'!$E$6:$AB$6)</f>
        <v>1101352.88396583</v>
      </c>
      <c r="D79" s="41" t="n">
        <f aca="false">'Title Economics'!$D$160-SUMPRODUCT('Deal Structures'!$E$59:$AB$59,'Title Economics'!$E$6:$AB$6)</f>
        <v>1027198.9387253</v>
      </c>
      <c r="E79" s="41" t="n">
        <f aca="false">'Title Economics'!$D$160-SUMPRODUCT('Deal Structures'!$E$65:$AB$65,'Title Economics'!$E$6:$AB$6)</f>
        <v>1029595.83808402</v>
      </c>
    </row>
    <row r="80" customFormat="false" ht="15" hidden="false" customHeight="false" outlineLevel="0" collapsed="false">
      <c r="A80" s="9" t="s">
        <v>269</v>
      </c>
      <c r="C80" s="41" t="n">
        <f aca="false">C75-C78</f>
        <v>481245.230972709</v>
      </c>
      <c r="D80" s="41" t="n">
        <f aca="false">D75-D78</f>
        <v>307311.418214513</v>
      </c>
      <c r="E80" s="41" t="n">
        <f aca="false">E75-E78</f>
        <v>47113.270588096</v>
      </c>
    </row>
    <row r="81" customFormat="false" ht="15" hidden="false" customHeight="false" outlineLevel="0" collapsed="false">
      <c r="A81" s="9" t="s">
        <v>270</v>
      </c>
      <c r="C81" s="40" t="n">
        <f aca="false">Scenarios!$D$50*('Title Economics'!$D$111+C74)/('Title Economics'!$D$108+'Title Economics'!$D$109-'Title Economics'!$D$110)</f>
        <v>13028127.4405275</v>
      </c>
      <c r="D81" s="40" t="n">
        <f aca="false">Scenarios!$D$50*('Title Economics'!$D$111+D74)/('Title Economics'!$D$108+'Title Economics'!$D$109-'Title Economics'!$D$110)</f>
        <v>12131551.7449704</v>
      </c>
      <c r="E81" s="40" t="n">
        <f aca="false">Scenarios!$D$50*('Title Economics'!$D$111+E74)/('Title Economics'!$D$108+'Title Economics'!$D$109-'Title Economics'!$D$110)</f>
        <v>12035806.7538896</v>
      </c>
    </row>
    <row r="82" customFormat="false" ht="15" hidden="false" customHeight="false" outlineLevel="0" collapsed="false">
      <c r="A82" s="9" t="s">
        <v>271</v>
      </c>
      <c r="C82" s="40" t="n">
        <f aca="false">'Deal Structures'!$D$33</f>
        <v>11</v>
      </c>
      <c r="D82" s="40" t="n">
        <f aca="false">'Deal Structures'!$D$41</f>
        <v>7</v>
      </c>
      <c r="E82" s="40" t="n">
        <f aca="false">'Deal Structures'!$D$47</f>
        <v>6</v>
      </c>
    </row>
    <row r="83" customFormat="false" ht="33.75" hidden="false" customHeight="true" outlineLevel="0" collapsed="false">
      <c r="A83" s="9" t="s">
        <v>272</v>
      </c>
      <c r="C83" s="48" t="s">
        <v>273</v>
      </c>
      <c r="D83" s="48" t="s">
        <v>274</v>
      </c>
      <c r="E83" s="48" t="s">
        <v>275</v>
      </c>
    </row>
    <row r="84" customFormat="false" ht="33.75" hidden="false" customHeight="true" outlineLevel="0" collapsed="false">
      <c r="A84" s="9" t="s">
        <v>276</v>
      </c>
      <c r="C84" s="48" t="s">
        <v>277</v>
      </c>
      <c r="D84" s="48" t="s">
        <v>278</v>
      </c>
      <c r="E84" s="48" t="s">
        <v>279</v>
      </c>
    </row>
    <row r="85" customFormat="false" ht="33.75" hidden="false" customHeight="true" outlineLevel="0" collapsed="false">
      <c r="A85" s="9" t="s">
        <v>280</v>
      </c>
      <c r="C85" s="48" t="s">
        <v>281</v>
      </c>
      <c r="D85" s="48" t="s">
        <v>282</v>
      </c>
      <c r="E85" s="48" t="s">
        <v>283</v>
      </c>
    </row>
    <row r="87" customFormat="false" ht="15" hidden="false" customHeight="false" outlineLevel="0" collapsed="false">
      <c r="A87" s="14" t="s">
        <v>284</v>
      </c>
    </row>
    <row r="88" customFormat="false" ht="15" hidden="false" customHeight="false" outlineLevel="0" collapsed="false">
      <c r="A88" s="1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3" style="0" width="20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286</v>
      </c>
    </row>
    <row r="3" customFormat="false" ht="15" hidden="false" customHeight="false" outlineLevel="0" collapsed="false">
      <c r="A3" s="14" t="s">
        <v>3</v>
      </c>
    </row>
    <row r="5" customFormat="false" ht="15" hidden="false" customHeight="false" outlineLevel="0" collapsed="false">
      <c r="A5" s="5" t="s">
        <v>287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8" t="s">
        <v>232</v>
      </c>
      <c r="C6" s="49" t="s">
        <v>208</v>
      </c>
      <c r="E6" s="14" t="s">
        <v>288</v>
      </c>
    </row>
    <row r="7" customFormat="false" ht="15" hidden="false" customHeight="false" outlineLevel="0" collapsed="false">
      <c r="A7" s="9" t="s">
        <v>289</v>
      </c>
      <c r="C7" s="50" t="n">
        <f aca="false">MATCH($C$6,$C$10:$E$10,0)</f>
        <v>2</v>
      </c>
    </row>
    <row r="9" customFormat="false" ht="15" hidden="false" customHeight="false" outlineLevel="0" collapsed="false">
      <c r="A9" s="5" t="s">
        <v>290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23" t="s">
        <v>291</v>
      </c>
      <c r="C10" s="24" t="s">
        <v>194</v>
      </c>
      <c r="D10" s="24" t="s">
        <v>208</v>
      </c>
      <c r="E10" s="24" t="s">
        <v>210</v>
      </c>
      <c r="F10" s="24" t="s">
        <v>292</v>
      </c>
      <c r="G10" s="23" t="s">
        <v>293</v>
      </c>
    </row>
    <row r="11" customFormat="false" ht="15" hidden="false" customHeight="false" outlineLevel="0" collapsed="false">
      <c r="A11" s="9" t="s">
        <v>294</v>
      </c>
      <c r="C11" s="51" t="n">
        <v>0.98</v>
      </c>
      <c r="D11" s="51" t="n">
        <v>1</v>
      </c>
      <c r="E11" s="51" t="n">
        <v>1.04</v>
      </c>
      <c r="F11" s="52" t="n">
        <f aca="false">INDEX($C11:$E11,1,$C$7)</f>
        <v>1</v>
      </c>
      <c r="G11" s="14" t="s">
        <v>295</v>
      </c>
    </row>
    <row r="12" customFormat="false" ht="15" hidden="false" customHeight="false" outlineLevel="0" collapsed="false">
      <c r="A12" s="9" t="s">
        <v>296</v>
      </c>
      <c r="C12" s="51" t="n">
        <v>0.98</v>
      </c>
      <c r="D12" s="51" t="n">
        <v>1</v>
      </c>
      <c r="E12" s="51" t="n">
        <v>1.02</v>
      </c>
      <c r="F12" s="52" t="n">
        <f aca="false">INDEX($C12:$E12,1,$C$7)</f>
        <v>1</v>
      </c>
      <c r="G12" s="14" t="s">
        <v>297</v>
      </c>
    </row>
    <row r="13" customFormat="false" ht="15" hidden="false" customHeight="false" outlineLevel="0" collapsed="false">
      <c r="A13" s="9" t="s">
        <v>298</v>
      </c>
      <c r="C13" s="53" t="n">
        <v>0.008</v>
      </c>
      <c r="D13" s="53" t="n">
        <v>0</v>
      </c>
      <c r="E13" s="53" t="n">
        <v>-0.008</v>
      </c>
      <c r="F13" s="54" t="n">
        <f aca="false">INDEX($C13:$E13,1,$C$7)</f>
        <v>0</v>
      </c>
      <c r="G13" s="14" t="s">
        <v>299</v>
      </c>
    </row>
    <row r="14" customFormat="false" ht="15" hidden="false" customHeight="false" outlineLevel="0" collapsed="false">
      <c r="A14" s="9" t="s">
        <v>300</v>
      </c>
      <c r="C14" s="51" t="n">
        <v>0.98</v>
      </c>
      <c r="D14" s="51" t="n">
        <v>1</v>
      </c>
      <c r="E14" s="51" t="n">
        <v>1.02</v>
      </c>
      <c r="F14" s="52" t="n">
        <f aca="false">INDEX($C14:$E14,1,$C$7)</f>
        <v>1</v>
      </c>
      <c r="G14" s="14" t="s">
        <v>301</v>
      </c>
    </row>
    <row r="15" customFormat="false" ht="15" hidden="false" customHeight="false" outlineLevel="0" collapsed="false">
      <c r="A15" s="9" t="s">
        <v>302</v>
      </c>
      <c r="C15" s="51" t="n">
        <v>0.96</v>
      </c>
      <c r="D15" s="51" t="n">
        <v>1</v>
      </c>
      <c r="E15" s="51" t="n">
        <v>1.035</v>
      </c>
      <c r="F15" s="52" t="n">
        <f aca="false">INDEX($C15:$E15,1,$C$7)</f>
        <v>1</v>
      </c>
      <c r="G15" s="14" t="s">
        <v>303</v>
      </c>
    </row>
    <row r="16" customFormat="false" ht="15" hidden="false" customHeight="false" outlineLevel="0" collapsed="false">
      <c r="A16" s="9" t="s">
        <v>304</v>
      </c>
      <c r="C16" s="51" t="n">
        <v>0.97</v>
      </c>
      <c r="D16" s="51" t="n">
        <v>1</v>
      </c>
      <c r="E16" s="51" t="n">
        <v>1.03</v>
      </c>
      <c r="F16" s="52" t="n">
        <f aca="false">INDEX($C16:$E16,1,$C$7)</f>
        <v>1</v>
      </c>
      <c r="G16" s="14" t="s">
        <v>305</v>
      </c>
    </row>
    <row r="17" customFormat="false" ht="15" hidden="false" customHeight="false" outlineLevel="0" collapsed="false">
      <c r="A17" s="9" t="s">
        <v>306</v>
      </c>
      <c r="C17" s="51" t="n">
        <v>1.05</v>
      </c>
      <c r="D17" s="51" t="n">
        <v>1</v>
      </c>
      <c r="E17" s="51" t="n">
        <v>0.97</v>
      </c>
      <c r="F17" s="52" t="n">
        <f aca="false">INDEX($C17:$E17,1,$C$7)</f>
        <v>1</v>
      </c>
      <c r="G17" s="14" t="s">
        <v>307</v>
      </c>
    </row>
    <row r="18" customFormat="false" ht="15" hidden="false" customHeight="false" outlineLevel="0" collapsed="false">
      <c r="A18" s="14" t="s">
        <v>308</v>
      </c>
    </row>
    <row r="20" customFormat="false" ht="15" hidden="false" customHeight="false" outlineLevel="0" collapsed="false">
      <c r="A20" s="5" t="s">
        <v>309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42" t="s">
        <v>194</v>
      </c>
      <c r="C21" s="55" t="s">
        <v>122</v>
      </c>
      <c r="D21" s="55" t="s">
        <v>123</v>
      </c>
      <c r="E21" s="55" t="s">
        <v>124</v>
      </c>
      <c r="F21" s="55" t="s">
        <v>125</v>
      </c>
      <c r="G21" s="55" t="s">
        <v>126</v>
      </c>
    </row>
    <row r="22" customFormat="false" ht="15" hidden="false" customHeight="false" outlineLevel="0" collapsed="false">
      <c r="A22" s="9" t="s">
        <v>155</v>
      </c>
      <c r="C22" s="21" t="n">
        <f aca="false">'Title Inputs'!$C$20+Scenarios!$C$13</f>
        <v>0.123</v>
      </c>
      <c r="D22" s="21" t="n">
        <f aca="false">'Title Inputs'!$D$20+Scenarios!$C$13</f>
        <v>0.128</v>
      </c>
      <c r="E22" s="21" t="n">
        <f aca="false">'Title Inputs'!$E$20+Scenarios!$C$13</f>
        <v>0.136</v>
      </c>
      <c r="F22" s="21" t="n">
        <f aca="false">'Title Inputs'!$F$20+Scenarios!$C$13</f>
        <v>0.148</v>
      </c>
      <c r="G22" s="21" t="n">
        <f aca="false">'Title Inputs'!$G$20+Scenarios!$C$13</f>
        <v>0.158</v>
      </c>
    </row>
    <row r="23" customFormat="false" ht="15" hidden="false" customHeight="false" outlineLevel="0" collapsed="false">
      <c r="A23" s="9" t="s">
        <v>310</v>
      </c>
      <c r="C23" s="40" t="n">
        <f aca="false">'Title Inputs'!$C$15*Scenarios!$C$11/'Title Inputs'!$C$21</f>
        <v>428557.446470697</v>
      </c>
      <c r="D23" s="40" t="n">
        <f aca="false">'Title Inputs'!$D$15*Scenarios!$C$11/'Title Inputs'!$D$21</f>
        <v>376177.539943875</v>
      </c>
      <c r="E23" s="40" t="n">
        <f aca="false">'Title Inputs'!$E$15*Scenarios!$C$11/'Title Inputs'!$E$21</f>
        <v>325770.470076688</v>
      </c>
      <c r="F23" s="40" t="n">
        <f aca="false">'Title Inputs'!$F$15*Scenarios!$C$11/'Title Inputs'!$F$21</f>
        <v>232611.52082301</v>
      </c>
      <c r="G23" s="40" t="n">
        <f aca="false">'Title Inputs'!$G$15*Scenarios!$C$11/'Title Inputs'!$G$21</f>
        <v>127530.28420969</v>
      </c>
    </row>
    <row r="24" customFormat="false" ht="15" hidden="false" customHeight="false" outlineLevel="0" collapsed="false">
      <c r="A24" s="9" t="s">
        <v>152</v>
      </c>
      <c r="C24" s="21" t="n">
        <f aca="false">'Title Inputs'!$C$18*Scenarios!$C$12</f>
        <v>0.6272</v>
      </c>
      <c r="D24" s="21" t="n">
        <f aca="false">'Title Inputs'!$D$18*Scenarios!$C$12</f>
        <v>0.5978</v>
      </c>
      <c r="E24" s="21" t="n">
        <f aca="false">'Title Inputs'!$E$18*Scenarios!$C$12</f>
        <v>0.5782</v>
      </c>
      <c r="F24" s="21" t="n">
        <f aca="false">'Title Inputs'!$F$18*Scenarios!$C$12</f>
        <v>0.4998</v>
      </c>
      <c r="G24" s="21" t="n">
        <f aca="false">'Title Inputs'!$G$18*Scenarios!$C$12</f>
        <v>0.441</v>
      </c>
    </row>
    <row r="25" customFormat="false" ht="15" hidden="false" customHeight="false" outlineLevel="0" collapsed="false">
      <c r="A25" s="9" t="s">
        <v>162</v>
      </c>
      <c r="C25" s="21" t="n">
        <f aca="false">'Title Inputs'!$C$25*Scenarios!$C$14</f>
        <v>0.8036</v>
      </c>
      <c r="D25" s="21" t="n">
        <f aca="false">'Title Inputs'!$D$25*Scenarios!$C$14</f>
        <v>0.7938</v>
      </c>
      <c r="E25" s="21" t="n">
        <f aca="false">'Title Inputs'!$E$25*Scenarios!$C$14</f>
        <v>0.784</v>
      </c>
      <c r="F25" s="21" t="n">
        <f aca="false">'Title Inputs'!$F$25*Scenarios!$C$14</f>
        <v>0.7546</v>
      </c>
      <c r="G25" s="21" t="n">
        <f aca="false">'Title Inputs'!$G$25*Scenarios!$C$14</f>
        <v>0.735</v>
      </c>
    </row>
    <row r="26" customFormat="false" ht="15" hidden="false" customHeight="false" outlineLevel="0" collapsed="false">
      <c r="A26" s="9" t="s">
        <v>163</v>
      </c>
      <c r="C26" s="56" t="n">
        <f aca="false">'Title Inputs'!$C$26*Scenarios!$C$15</f>
        <v>24.48</v>
      </c>
      <c r="D26" s="56" t="n">
        <f aca="false">'Title Inputs'!$D$26*Scenarios!$C$15</f>
        <v>23.04</v>
      </c>
      <c r="E26" s="56" t="n">
        <f aca="false">'Title Inputs'!$E$26*Scenarios!$C$15</f>
        <v>22.08</v>
      </c>
      <c r="F26" s="56" t="n">
        <f aca="false">'Title Inputs'!$F$26*Scenarios!$C$15</f>
        <v>20.16</v>
      </c>
      <c r="G26" s="56" t="n">
        <f aca="false">'Title Inputs'!$G$26*Scenarios!$C$15</f>
        <v>18.72</v>
      </c>
    </row>
    <row r="27" customFormat="false" ht="15" hidden="false" customHeight="false" outlineLevel="0" collapsed="false">
      <c r="A27" s="9" t="s">
        <v>165</v>
      </c>
      <c r="C27" s="21" t="n">
        <f aca="false">'Title Inputs'!$C$27*Scenarios!$C$16</f>
        <v>0.6014</v>
      </c>
      <c r="D27" s="21" t="n">
        <f aca="false">'Title Inputs'!$D$27*Scenarios!$C$16</f>
        <v>0.5626</v>
      </c>
      <c r="E27" s="21" t="n">
        <f aca="false">'Title Inputs'!$E$27*Scenarios!$C$16</f>
        <v>0.5335</v>
      </c>
      <c r="F27" s="21" t="n">
        <f aca="false">'Title Inputs'!$F$27*Scenarios!$C$16</f>
        <v>0.4559</v>
      </c>
      <c r="G27" s="21" t="n">
        <f aca="false">'Title Inputs'!$G$27*Scenarios!$C$16</f>
        <v>0.388</v>
      </c>
    </row>
    <row r="28" customFormat="false" ht="15" hidden="false" customHeight="false" outlineLevel="0" collapsed="false">
      <c r="A28" s="9" t="s">
        <v>170</v>
      </c>
      <c r="C28" s="41" t="n">
        <f aca="false">'Title Inputs'!$C$31*Scenarios!$C$17</f>
        <v>173250</v>
      </c>
      <c r="D28" s="41" t="n">
        <f aca="false">'Title Inputs'!$D$31*Scenarios!$C$17</f>
        <v>136500</v>
      </c>
      <c r="E28" s="41" t="n">
        <f aca="false">'Title Inputs'!$E$31*Scenarios!$C$17</f>
        <v>105000</v>
      </c>
      <c r="F28" s="41" t="n">
        <f aca="false">'Title Inputs'!$F$31*Scenarios!$C$17</f>
        <v>75600</v>
      </c>
      <c r="G28" s="41" t="n">
        <f aca="false">'Title Inputs'!$G$31*Scenarios!$C$17</f>
        <v>60900</v>
      </c>
    </row>
    <row r="30" customFormat="false" ht="15" hidden="false" customHeight="false" outlineLevel="0" collapsed="false">
      <c r="A30" s="42" t="s">
        <v>208</v>
      </c>
      <c r="C30" s="55" t="s">
        <v>122</v>
      </c>
      <c r="D30" s="55" t="s">
        <v>123</v>
      </c>
      <c r="E30" s="55" t="s">
        <v>124</v>
      </c>
      <c r="F30" s="55" t="s">
        <v>125</v>
      </c>
      <c r="G30" s="55" t="s">
        <v>126</v>
      </c>
    </row>
    <row r="31" customFormat="false" ht="15" hidden="false" customHeight="false" outlineLevel="0" collapsed="false">
      <c r="A31" s="9" t="s">
        <v>155</v>
      </c>
      <c r="C31" s="21" t="n">
        <f aca="false">'Title Inputs'!$C$20+Scenarios!$D$13</f>
        <v>0.115</v>
      </c>
      <c r="D31" s="21" t="n">
        <f aca="false">'Title Inputs'!$D$20+Scenarios!$D$13</f>
        <v>0.12</v>
      </c>
      <c r="E31" s="21" t="n">
        <f aca="false">'Title Inputs'!$E$20+Scenarios!$D$13</f>
        <v>0.128</v>
      </c>
      <c r="F31" s="21" t="n">
        <f aca="false">'Title Inputs'!$F$20+Scenarios!$D$13</f>
        <v>0.14</v>
      </c>
      <c r="G31" s="21" t="n">
        <f aca="false">'Title Inputs'!$G$20+Scenarios!$D$13</f>
        <v>0.15</v>
      </c>
    </row>
    <row r="32" customFormat="false" ht="15" hidden="false" customHeight="false" outlineLevel="0" collapsed="false">
      <c r="A32" s="9" t="s">
        <v>310</v>
      </c>
      <c r="C32" s="40" t="n">
        <f aca="false">'Title Inputs'!$C$15*Scenarios!$D$11/'Title Inputs'!$C$21</f>
        <v>437303.516806833</v>
      </c>
      <c r="D32" s="40" t="n">
        <f aca="false">'Title Inputs'!$D$15*Scenarios!$D$11/'Title Inputs'!$D$21</f>
        <v>383854.632595791</v>
      </c>
      <c r="E32" s="40" t="n">
        <f aca="false">'Title Inputs'!$E$15*Scenarios!$D$11/'Title Inputs'!$E$21</f>
        <v>332418.847017029</v>
      </c>
      <c r="F32" s="40" t="n">
        <f aca="false">'Title Inputs'!$F$15*Scenarios!$D$11/'Title Inputs'!$F$21</f>
        <v>237358.694717357</v>
      </c>
      <c r="G32" s="40" t="n">
        <f aca="false">'Title Inputs'!$G$15*Scenarios!$D$11/'Title Inputs'!$G$21</f>
        <v>130132.943071112</v>
      </c>
    </row>
    <row r="33" customFormat="false" ht="15" hidden="false" customHeight="false" outlineLevel="0" collapsed="false">
      <c r="A33" s="9" t="s">
        <v>152</v>
      </c>
      <c r="C33" s="21" t="n">
        <f aca="false">'Title Inputs'!$C$18*Scenarios!$D$12</f>
        <v>0.64</v>
      </c>
      <c r="D33" s="21" t="n">
        <f aca="false">'Title Inputs'!$D$18*Scenarios!$D$12</f>
        <v>0.61</v>
      </c>
      <c r="E33" s="21" t="n">
        <f aca="false">'Title Inputs'!$E$18*Scenarios!$D$12</f>
        <v>0.59</v>
      </c>
      <c r="F33" s="21" t="n">
        <f aca="false">'Title Inputs'!$F$18*Scenarios!$D$12</f>
        <v>0.51</v>
      </c>
      <c r="G33" s="21" t="n">
        <f aca="false">'Title Inputs'!$G$18*Scenarios!$D$12</f>
        <v>0.45</v>
      </c>
    </row>
    <row r="34" customFormat="false" ht="15" hidden="false" customHeight="false" outlineLevel="0" collapsed="false">
      <c r="A34" s="9" t="s">
        <v>162</v>
      </c>
      <c r="C34" s="21" t="n">
        <f aca="false">'Title Inputs'!$C$25*Scenarios!$D$14</f>
        <v>0.82</v>
      </c>
      <c r="D34" s="21" t="n">
        <f aca="false">'Title Inputs'!$D$25*Scenarios!$D$14</f>
        <v>0.81</v>
      </c>
      <c r="E34" s="21" t="n">
        <f aca="false">'Title Inputs'!$E$25*Scenarios!$D$14</f>
        <v>0.8</v>
      </c>
      <c r="F34" s="21" t="n">
        <f aca="false">'Title Inputs'!$F$25*Scenarios!$D$14</f>
        <v>0.77</v>
      </c>
      <c r="G34" s="21" t="n">
        <f aca="false">'Title Inputs'!$G$25*Scenarios!$D$14</f>
        <v>0.75</v>
      </c>
    </row>
    <row r="35" customFormat="false" ht="15" hidden="false" customHeight="false" outlineLevel="0" collapsed="false">
      <c r="A35" s="9" t="s">
        <v>163</v>
      </c>
      <c r="C35" s="56" t="n">
        <f aca="false">'Title Inputs'!$C$26*Scenarios!$D$15</f>
        <v>25.5</v>
      </c>
      <c r="D35" s="56" t="n">
        <f aca="false">'Title Inputs'!$D$26*Scenarios!$D$15</f>
        <v>24</v>
      </c>
      <c r="E35" s="56" t="n">
        <f aca="false">'Title Inputs'!$E$26*Scenarios!$D$15</f>
        <v>23</v>
      </c>
      <c r="F35" s="56" t="n">
        <f aca="false">'Title Inputs'!$F$26*Scenarios!$D$15</f>
        <v>21</v>
      </c>
      <c r="G35" s="56" t="n">
        <f aca="false">'Title Inputs'!$G$26*Scenarios!$D$15</f>
        <v>19.5</v>
      </c>
    </row>
    <row r="36" customFormat="false" ht="15" hidden="false" customHeight="false" outlineLevel="0" collapsed="false">
      <c r="A36" s="9" t="s">
        <v>165</v>
      </c>
      <c r="C36" s="21" t="n">
        <f aca="false">'Title Inputs'!$C$27*Scenarios!$D$16</f>
        <v>0.62</v>
      </c>
      <c r="D36" s="21" t="n">
        <f aca="false">'Title Inputs'!$D$27*Scenarios!$D$16</f>
        <v>0.58</v>
      </c>
      <c r="E36" s="21" t="n">
        <f aca="false">'Title Inputs'!$E$27*Scenarios!$D$16</f>
        <v>0.55</v>
      </c>
      <c r="F36" s="21" t="n">
        <f aca="false">'Title Inputs'!$F$27*Scenarios!$D$16</f>
        <v>0.47</v>
      </c>
      <c r="G36" s="21" t="n">
        <f aca="false">'Title Inputs'!$G$27*Scenarios!$D$16</f>
        <v>0.4</v>
      </c>
    </row>
    <row r="37" customFormat="false" ht="15" hidden="false" customHeight="false" outlineLevel="0" collapsed="false">
      <c r="A37" s="9" t="s">
        <v>170</v>
      </c>
      <c r="C37" s="41" t="n">
        <f aca="false">'Title Inputs'!$C$31*Scenarios!$D$17</f>
        <v>165000</v>
      </c>
      <c r="D37" s="41" t="n">
        <f aca="false">'Title Inputs'!$D$31*Scenarios!$D$17</f>
        <v>130000</v>
      </c>
      <c r="E37" s="41" t="n">
        <f aca="false">'Title Inputs'!$E$31*Scenarios!$D$17</f>
        <v>100000</v>
      </c>
      <c r="F37" s="41" t="n">
        <f aca="false">'Title Inputs'!$F$31*Scenarios!$D$17</f>
        <v>72000</v>
      </c>
      <c r="G37" s="41" t="n">
        <f aca="false">'Title Inputs'!$G$31*Scenarios!$D$17</f>
        <v>58000</v>
      </c>
    </row>
    <row r="39" customFormat="false" ht="15" hidden="false" customHeight="false" outlineLevel="0" collapsed="false">
      <c r="A39" s="42" t="s">
        <v>210</v>
      </c>
      <c r="C39" s="55" t="s">
        <v>122</v>
      </c>
      <c r="D39" s="55" t="s">
        <v>123</v>
      </c>
      <c r="E39" s="55" t="s">
        <v>124</v>
      </c>
      <c r="F39" s="55" t="s">
        <v>125</v>
      </c>
      <c r="G39" s="55" t="s">
        <v>126</v>
      </c>
    </row>
    <row r="40" customFormat="false" ht="15" hidden="false" customHeight="false" outlineLevel="0" collapsed="false">
      <c r="A40" s="9" t="s">
        <v>155</v>
      </c>
      <c r="C40" s="21" t="n">
        <f aca="false">'Title Inputs'!$C$20+Scenarios!$E$13</f>
        <v>0.107</v>
      </c>
      <c r="D40" s="21" t="n">
        <f aca="false">'Title Inputs'!$D$20+Scenarios!$E$13</f>
        <v>0.112</v>
      </c>
      <c r="E40" s="21" t="n">
        <f aca="false">'Title Inputs'!$E$20+Scenarios!$E$13</f>
        <v>0.12</v>
      </c>
      <c r="F40" s="21" t="n">
        <f aca="false">'Title Inputs'!$F$20+Scenarios!$E$13</f>
        <v>0.132</v>
      </c>
      <c r="G40" s="21" t="n">
        <f aca="false">'Title Inputs'!$G$20+Scenarios!$E$13</f>
        <v>0.142</v>
      </c>
    </row>
    <row r="41" customFormat="false" ht="15" hidden="false" customHeight="false" outlineLevel="0" collapsed="false">
      <c r="A41" s="9" t="s">
        <v>310</v>
      </c>
      <c r="C41" s="40" t="n">
        <f aca="false">'Title Inputs'!$C$15*Scenarios!$E$11/'Title Inputs'!$C$21</f>
        <v>454795.657479107</v>
      </c>
      <c r="D41" s="40" t="n">
        <f aca="false">'Title Inputs'!$D$15*Scenarios!$E$11/'Title Inputs'!$D$21</f>
        <v>399208.817899623</v>
      </c>
      <c r="E41" s="40" t="n">
        <f aca="false">'Title Inputs'!$E$15*Scenarios!$E$11/'Title Inputs'!$E$21</f>
        <v>345715.60089771</v>
      </c>
      <c r="F41" s="40" t="n">
        <f aca="false">'Title Inputs'!$F$15*Scenarios!$E$11/'Title Inputs'!$F$21</f>
        <v>246853.042506052</v>
      </c>
      <c r="G41" s="40" t="n">
        <f aca="false">'Title Inputs'!$G$15*Scenarios!$E$11/'Title Inputs'!$G$21</f>
        <v>135338.260793956</v>
      </c>
    </row>
    <row r="42" customFormat="false" ht="15" hidden="false" customHeight="false" outlineLevel="0" collapsed="false">
      <c r="A42" s="9" t="s">
        <v>152</v>
      </c>
      <c r="C42" s="21" t="n">
        <f aca="false">'Title Inputs'!$C$18*Scenarios!$E$12</f>
        <v>0.6528</v>
      </c>
      <c r="D42" s="21" t="n">
        <f aca="false">'Title Inputs'!$D$18*Scenarios!$E$12</f>
        <v>0.6222</v>
      </c>
      <c r="E42" s="21" t="n">
        <f aca="false">'Title Inputs'!$E$18*Scenarios!$E$12</f>
        <v>0.6018</v>
      </c>
      <c r="F42" s="21" t="n">
        <f aca="false">'Title Inputs'!$F$18*Scenarios!$E$12</f>
        <v>0.5202</v>
      </c>
      <c r="G42" s="21" t="n">
        <f aca="false">'Title Inputs'!$G$18*Scenarios!$E$12</f>
        <v>0.459</v>
      </c>
    </row>
    <row r="43" customFormat="false" ht="15" hidden="false" customHeight="false" outlineLevel="0" collapsed="false">
      <c r="A43" s="9" t="s">
        <v>162</v>
      </c>
      <c r="C43" s="21" t="n">
        <f aca="false">'Title Inputs'!$C$25*Scenarios!$E$14</f>
        <v>0.8364</v>
      </c>
      <c r="D43" s="21" t="n">
        <f aca="false">'Title Inputs'!$D$25*Scenarios!$E$14</f>
        <v>0.8262</v>
      </c>
      <c r="E43" s="21" t="n">
        <f aca="false">'Title Inputs'!$E$25*Scenarios!$E$14</f>
        <v>0.816</v>
      </c>
      <c r="F43" s="21" t="n">
        <f aca="false">'Title Inputs'!$F$25*Scenarios!$E$14</f>
        <v>0.7854</v>
      </c>
      <c r="G43" s="21" t="n">
        <f aca="false">'Title Inputs'!$G$25*Scenarios!$E$14</f>
        <v>0.765</v>
      </c>
    </row>
    <row r="44" customFormat="false" ht="15" hidden="false" customHeight="false" outlineLevel="0" collapsed="false">
      <c r="A44" s="9" t="s">
        <v>163</v>
      </c>
      <c r="C44" s="56" t="n">
        <f aca="false">'Title Inputs'!$C$26*Scenarios!$E$15</f>
        <v>26.3925</v>
      </c>
      <c r="D44" s="56" t="n">
        <f aca="false">'Title Inputs'!$D$26*Scenarios!$E$15</f>
        <v>24.84</v>
      </c>
      <c r="E44" s="56" t="n">
        <f aca="false">'Title Inputs'!$E$26*Scenarios!$E$15</f>
        <v>23.805</v>
      </c>
      <c r="F44" s="56" t="n">
        <f aca="false">'Title Inputs'!$F$26*Scenarios!$E$15</f>
        <v>21.735</v>
      </c>
      <c r="G44" s="56" t="n">
        <f aca="false">'Title Inputs'!$G$26*Scenarios!$E$15</f>
        <v>20.1825</v>
      </c>
    </row>
    <row r="45" customFormat="false" ht="15" hidden="false" customHeight="false" outlineLevel="0" collapsed="false">
      <c r="A45" s="9" t="s">
        <v>165</v>
      </c>
      <c r="C45" s="21" t="n">
        <f aca="false">'Title Inputs'!$C$27*Scenarios!$E$16</f>
        <v>0.6386</v>
      </c>
      <c r="D45" s="21" t="n">
        <f aca="false">'Title Inputs'!$D$27*Scenarios!$E$16</f>
        <v>0.5974</v>
      </c>
      <c r="E45" s="21" t="n">
        <f aca="false">'Title Inputs'!$E$27*Scenarios!$E$16</f>
        <v>0.5665</v>
      </c>
      <c r="F45" s="21" t="n">
        <f aca="false">'Title Inputs'!$F$27*Scenarios!$E$16</f>
        <v>0.4841</v>
      </c>
      <c r="G45" s="21" t="n">
        <f aca="false">'Title Inputs'!$G$27*Scenarios!$E$16</f>
        <v>0.412</v>
      </c>
    </row>
    <row r="46" customFormat="false" ht="15" hidden="false" customHeight="false" outlineLevel="0" collapsed="false">
      <c r="A46" s="9" t="s">
        <v>170</v>
      </c>
      <c r="C46" s="41" t="n">
        <f aca="false">'Title Inputs'!$C$31*Scenarios!$E$17</f>
        <v>160050</v>
      </c>
      <c r="D46" s="41" t="n">
        <f aca="false">'Title Inputs'!$D$31*Scenarios!$E$17</f>
        <v>126100</v>
      </c>
      <c r="E46" s="41" t="n">
        <f aca="false">'Title Inputs'!$E$31*Scenarios!$E$17</f>
        <v>97000</v>
      </c>
      <c r="F46" s="41" t="n">
        <f aca="false">'Title Inputs'!$F$31*Scenarios!$E$17</f>
        <v>69840</v>
      </c>
      <c r="G46" s="41" t="n">
        <f aca="false">'Title Inputs'!$G$31*Scenarios!$E$17</f>
        <v>56260</v>
      </c>
    </row>
    <row r="48" customFormat="false" ht="15" hidden="false" customHeight="false" outlineLevel="0" collapsed="false">
      <c r="A48" s="5" t="s">
        <v>311</v>
      </c>
      <c r="B48" s="6"/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false" outlineLevel="0" collapsed="false">
      <c r="A49" s="23" t="s">
        <v>312</v>
      </c>
      <c r="C49" s="24" t="s">
        <v>194</v>
      </c>
      <c r="D49" s="24" t="s">
        <v>208</v>
      </c>
      <c r="E49" s="24" t="s">
        <v>210</v>
      </c>
      <c r="G49" s="23" t="s">
        <v>313</v>
      </c>
    </row>
    <row r="50" customFormat="false" ht="15" hidden="false" customHeight="false" outlineLevel="0" collapsed="false">
      <c r="A50" s="9" t="s">
        <v>197</v>
      </c>
      <c r="C50" s="57" t="n">
        <f aca="false">'Monthly Viewing Forecast'!$D$38</f>
        <v>14529861.7330743</v>
      </c>
      <c r="D50" s="57" t="n">
        <f aca="false">'Monthly Viewing Forecast'!$D$77</f>
        <v>15970795.3333333</v>
      </c>
      <c r="E50" s="57" t="n">
        <f aca="false">'Monthly Viewing Forecast'!$D$116</f>
        <v>17921711.0348028</v>
      </c>
      <c r="G50" s="14" t="s">
        <v>314</v>
      </c>
    </row>
    <row r="51" customFormat="false" ht="15" hidden="false" customHeight="false" outlineLevel="0" collapsed="false">
      <c r="A51" s="9" t="s">
        <v>199</v>
      </c>
      <c r="C51" s="58" t="n">
        <f aca="false">'Monthly Viewing Forecast'!$D$40</f>
        <v>4131414.20513537</v>
      </c>
      <c r="D51" s="58" t="n">
        <f aca="false">'Monthly Viewing Forecast'!$D$79</f>
        <v>4828224.849035</v>
      </c>
      <c r="E51" s="58" t="n">
        <f aca="false">'Monthly Viewing Forecast'!$D$118</f>
        <v>5721451.69349156</v>
      </c>
      <c r="G51" s="14" t="s">
        <v>315</v>
      </c>
    </row>
    <row r="52" customFormat="false" ht="15" hidden="false" customHeight="false" outlineLevel="0" collapsed="false">
      <c r="A52" s="9" t="s">
        <v>213</v>
      </c>
      <c r="C52" s="58" t="n">
        <f aca="false">'Title Economics'!$D$44</f>
        <v>2301203.13161924</v>
      </c>
      <c r="D52" s="58" t="n">
        <f aca="false">'Title Economics'!$D$97</f>
        <v>2773098.2932403</v>
      </c>
      <c r="E52" s="58" t="n">
        <f aca="false">'Title Economics'!$D$150</f>
        <v>3385460.90225138</v>
      </c>
      <c r="G52" s="14" t="s">
        <v>316</v>
      </c>
    </row>
    <row r="53" customFormat="false" ht="15" hidden="false" customHeight="false" outlineLevel="0" collapsed="false">
      <c r="A53" s="9" t="s">
        <v>214</v>
      </c>
      <c r="C53" s="58" t="n">
        <f aca="false">'Title Economics'!$D$45</f>
        <v>359936.511980485</v>
      </c>
      <c r="D53" s="58" t="n">
        <f aca="false">'Title Economics'!$D$98</f>
        <v>407970.57885</v>
      </c>
      <c r="E53" s="58" t="n">
        <f aca="false">'Title Economics'!$D$151</f>
        <v>471663.750998915</v>
      </c>
      <c r="G53" s="14" t="s">
        <v>317</v>
      </c>
    </row>
    <row r="54" customFormat="false" ht="15" hidden="false" customHeight="false" outlineLevel="0" collapsed="false">
      <c r="A54" s="9" t="s">
        <v>223</v>
      </c>
      <c r="C54" s="58" t="n">
        <f aca="false">'Title Economics'!$D$50</f>
        <v>1067317.37292841</v>
      </c>
      <c r="D54" s="58" t="n">
        <f aca="false">'Title Economics'!$D$103</f>
        <v>1068445.11133333</v>
      </c>
      <c r="E54" s="58" t="n">
        <f aca="false">'Title Economics'!$D$156</f>
        <v>1089762.50966125</v>
      </c>
      <c r="G54" s="14" t="s">
        <v>318</v>
      </c>
    </row>
    <row r="55" customFormat="false" ht="15" hidden="false" customHeight="false" outlineLevel="0" collapsed="false">
      <c r="A55" s="9" t="s">
        <v>216</v>
      </c>
      <c r="C55" s="58" t="n">
        <f aca="false">'Title Economics'!$D$51</f>
        <v>1593822.27067131</v>
      </c>
      <c r="D55" s="58" t="n">
        <f aca="false">'Title Economics'!$D$104</f>
        <v>2112623.76075697</v>
      </c>
      <c r="E55" s="58" t="n">
        <f aca="false">'Title Economics'!$D$157</f>
        <v>2767362.14358904</v>
      </c>
      <c r="G55" s="14" t="s">
        <v>319</v>
      </c>
    </row>
    <row r="56" customFormat="false" ht="15" hidden="false" customHeight="false" outlineLevel="0" collapsed="false">
      <c r="A56" s="9" t="s">
        <v>224</v>
      </c>
      <c r="C56" s="58" t="n">
        <f aca="false">'Title Economics'!$D$52</f>
        <v>2498097.61165568</v>
      </c>
      <c r="D56" s="58" t="n">
        <f aca="false">'Title Economics'!$D$105</f>
        <v>2978508.25833293</v>
      </c>
      <c r="E56" s="58" t="n">
        <f aca="false">'Title Economics'!$D$158</f>
        <v>3601828.08104202</v>
      </c>
      <c r="G56" s="14" t="s">
        <v>320</v>
      </c>
    </row>
    <row r="57" customFormat="false" ht="15" hidden="false" customHeight="false" outlineLevel="0" collapsed="false">
      <c r="A57" s="9" t="s">
        <v>225</v>
      </c>
      <c r="C57" s="58" t="n">
        <f aca="false">'Title Economics'!$D$53</f>
        <v>1039381.38355324</v>
      </c>
      <c r="D57" s="58" t="n">
        <f aca="false">'Title Economics'!$D$106</f>
        <v>1038546.79925778</v>
      </c>
      <c r="E57" s="58" t="n">
        <f aca="false">'Title Economics'!$D$159</f>
        <v>1056931.78105653</v>
      </c>
      <c r="G57" s="14" t="s">
        <v>320</v>
      </c>
    </row>
    <row r="58" customFormat="false" ht="15" hidden="false" customHeight="false" outlineLevel="0" collapsed="false">
      <c r="A58" s="9" t="s">
        <v>226</v>
      </c>
      <c r="C58" s="58" t="n">
        <f aca="false">'Title Economics'!$D$54</f>
        <v>1458716.22810244</v>
      </c>
      <c r="D58" s="58" t="n">
        <f aca="false">'Title Economics'!$D$107</f>
        <v>1939961.45907515</v>
      </c>
      <c r="E58" s="58" t="n">
        <f aca="false">'Title Economics'!$D$160</f>
        <v>2544896.29998549</v>
      </c>
      <c r="G58" s="14" t="s">
        <v>321</v>
      </c>
    </row>
    <row r="59" customFormat="false" ht="15" hidden="false" customHeight="false" outlineLevel="0" collapsed="false">
      <c r="A59" s="8" t="s">
        <v>322</v>
      </c>
      <c r="C59" s="34" t="n">
        <f aca="false">C58/Assumptions!$C$34</f>
        <v>1514267.28127597</v>
      </c>
      <c r="D59" s="34" t="n">
        <f aca="false">D58/Assumptions!$C$34</f>
        <v>2013839.36630038</v>
      </c>
      <c r="E59" s="34" t="n">
        <f aca="false">E58/Assumptions!$C$34</f>
        <v>2641811.42779312</v>
      </c>
      <c r="G59" s="14" t="s">
        <v>323</v>
      </c>
    </row>
    <row r="61" customFormat="false" ht="15" hidden="false" customHeight="false" outlineLevel="0" collapsed="false">
      <c r="A61" s="5" t="s">
        <v>324</v>
      </c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" hidden="false" customHeight="false" outlineLevel="0" collapsed="false">
      <c r="A62" s="9" t="s">
        <v>325</v>
      </c>
      <c r="C62" s="41" t="n">
        <f aca="false">Assumptions!$C$10</f>
        <v>2500000</v>
      </c>
      <c r="G62" s="14" t="s">
        <v>326</v>
      </c>
    </row>
    <row r="63" customFormat="false" ht="15" hidden="false" customHeight="false" outlineLevel="0" collapsed="false">
      <c r="A63" s="8" t="s">
        <v>327</v>
      </c>
      <c r="C63" s="34" t="n">
        <f aca="false">$D$59</f>
        <v>2013839.36630038</v>
      </c>
      <c r="G63" s="14" t="s">
        <v>328</v>
      </c>
    </row>
    <row r="64" customFormat="false" ht="15" hidden="false" customHeight="false" outlineLevel="0" collapsed="false">
      <c r="A64" s="9" t="s">
        <v>329</v>
      </c>
      <c r="C64" s="41" t="n">
        <f aca="false">$C$59</f>
        <v>1514267.28127597</v>
      </c>
      <c r="G64" s="14" t="s">
        <v>330</v>
      </c>
    </row>
    <row r="65" customFormat="false" ht="15" hidden="false" customHeight="false" outlineLevel="0" collapsed="false">
      <c r="A65" s="9" t="s">
        <v>331</v>
      </c>
      <c r="C65" s="41" t="n">
        <f aca="false">('Title Economics'!$D$105/(1+Assumptions!$C$15)-'Title Economics'!$D$106)/Assumptions!$C$34</f>
        <v>1498516.65585667</v>
      </c>
      <c r="G65" s="14" t="s">
        <v>332</v>
      </c>
    </row>
    <row r="66" customFormat="false" ht="15" hidden="false" customHeight="false" outlineLevel="0" collapsed="false">
      <c r="A66" s="8" t="s">
        <v>333</v>
      </c>
      <c r="C66" s="34" t="n">
        <f aca="false">MIN($C$64,$C$65)</f>
        <v>1498516.65585667</v>
      </c>
      <c r="G66" s="14" t="s">
        <v>334</v>
      </c>
    </row>
    <row r="67" customFormat="false" ht="15" hidden="false" customHeight="false" outlineLevel="0" collapsed="false">
      <c r="A67" s="8" t="s">
        <v>335</v>
      </c>
      <c r="C67" s="34" t="n">
        <f aca="false">$C$66*Assumptions!$C$16</f>
        <v>1318694.65715387</v>
      </c>
      <c r="G67" s="14" t="s">
        <v>336</v>
      </c>
    </row>
    <row r="68" customFormat="false" ht="15" hidden="false" customHeight="false" outlineLevel="0" collapsed="false">
      <c r="A68" s="9" t="s">
        <v>337</v>
      </c>
      <c r="C68" s="21" t="n">
        <f aca="false">$C$62/$C$63-1</f>
        <v>0.241409837266588</v>
      </c>
    </row>
    <row r="69" customFormat="false" ht="15" hidden="false" customHeight="false" outlineLevel="0" collapsed="false">
      <c r="A69" s="9" t="s">
        <v>338</v>
      </c>
      <c r="C69" s="21" t="n">
        <f aca="false">($C$62*Assumptions!$C$34+'Title Economics'!$D$111)/('Title Economics'!$D$108+'Title Economics'!$D$109-'Title Economics'!$D$110)-1</f>
        <v>0.173826190943153</v>
      </c>
      <c r="G69" s="14" t="s">
        <v>339</v>
      </c>
    </row>
    <row r="70" customFormat="false" ht="15" hidden="false" customHeight="false" outlineLevel="0" collapsed="false">
      <c r="A70" s="9" t="s">
        <v>340</v>
      </c>
      <c r="C70" s="21" t="n">
        <f aca="false">1-$C$66/$C$62</f>
        <v>0.400593337657332</v>
      </c>
    </row>
    <row r="72" customFormat="false" ht="15" hidden="false" customHeight="false" outlineLevel="0" collapsed="false">
      <c r="A72" s="5" t="s">
        <v>341</v>
      </c>
      <c r="B72" s="6"/>
      <c r="C72" s="6"/>
      <c r="D72" s="6"/>
      <c r="E72" s="6"/>
      <c r="F72" s="6"/>
      <c r="G72" s="6"/>
      <c r="H72" s="6"/>
      <c r="I72" s="6"/>
      <c r="J72" s="6"/>
    </row>
    <row r="73" customFormat="false" ht="15" hidden="false" customHeight="false" outlineLevel="0" collapsed="false">
      <c r="A73" s="23" t="s">
        <v>261</v>
      </c>
      <c r="C73" s="24" t="s">
        <v>194</v>
      </c>
      <c r="D73" s="24" t="s">
        <v>208</v>
      </c>
      <c r="E73" s="24" t="s">
        <v>210</v>
      </c>
    </row>
    <row r="74" customFormat="false" ht="15" hidden="false" customHeight="false" outlineLevel="0" collapsed="false">
      <c r="A74" s="9" t="s">
        <v>342</v>
      </c>
      <c r="C74" s="41" t="n">
        <f aca="false">C58-Scenarios!$C$62*Assumptions!$C$34</f>
        <v>-949571.011111493</v>
      </c>
      <c r="D74" s="41" t="n">
        <f aca="false">D58-Scenarios!$C$62*Assumptions!$C$34</f>
        <v>-468325.780138784</v>
      </c>
      <c r="E74" s="41" t="n">
        <f aca="false">E58-Scenarios!$C$62*Assumptions!$C$34</f>
        <v>136609.060771555</v>
      </c>
    </row>
    <row r="75" customFormat="false" ht="15" hidden="false" customHeight="false" outlineLevel="0" collapsed="false">
      <c r="A75" s="9" t="s">
        <v>343</v>
      </c>
      <c r="C75" s="21" t="n">
        <f aca="false">(C56-(C57+Scenarios!$C$62*Assumptions!$C$34))/(C57+Scenarios!$C$62*Assumptions!$C$34)</f>
        <v>-0.275424095239567</v>
      </c>
      <c r="D75" s="21" t="n">
        <f aca="false">(D56-(D57+Scenarios!$C$62*Assumptions!$C$34))/(D57+Scenarios!$C$62*Assumptions!$C$34)</f>
        <v>-0.1358712879447</v>
      </c>
      <c r="E75" s="21" t="n">
        <f aca="false">(E56-(E57+Scenarios!$C$62*Assumptions!$C$34))/(E57+Scenarios!$C$62*Assumptions!$C$34)</f>
        <v>0.039422922468229</v>
      </c>
    </row>
    <row r="76" customFormat="false" ht="15" hidden="false" customHeight="false" outlineLevel="0" collapsed="false">
      <c r="A76" s="9" t="s">
        <v>344</v>
      </c>
      <c r="C76" s="41" t="n">
        <f aca="false">C58-Scenarios!$C$66*Assumptions!$C$34</f>
        <v>15172.8120827789</v>
      </c>
      <c r="D76" s="41" t="n">
        <f aca="false">D58-Scenarios!$C$66*Assumptions!$C$34</f>
        <v>496418.043055488</v>
      </c>
      <c r="E76" s="41" t="n">
        <f aca="false">E58-Scenarios!$C$66*Assumptions!$C$34</f>
        <v>1101352.88396583</v>
      </c>
    </row>
    <row r="77" customFormat="false" ht="15" hidden="false" customHeight="false" outlineLevel="0" collapsed="false">
      <c r="A77" s="9" t="s">
        <v>345</v>
      </c>
      <c r="C77" s="21" t="n">
        <f aca="false">(C56-(C57+Scenarios!$C$66*Assumptions!$C$34))/(C57+Scenarios!$C$66*Assumptions!$C$34)</f>
        <v>0.00611086251399521</v>
      </c>
      <c r="D77" s="21" t="n">
        <f aca="false">(D56-(D57+Scenarios!$C$66*Assumptions!$C$34))/(D57+Scenarios!$C$66*Assumptions!$C$34)</f>
        <v>0.2</v>
      </c>
      <c r="E77" s="21" t="n">
        <f aca="false">(E56-(E57+Scenarios!$C$66*Assumptions!$C$34))/(E57+Scenarios!$C$66*Assumptions!$C$34)</f>
        <v>0.44045743195279</v>
      </c>
    </row>
    <row r="79" customFormat="false" ht="15" hidden="false" customHeight="false" outlineLevel="0" collapsed="false">
      <c r="A79" s="14" t="s">
        <v>346</v>
      </c>
    </row>
    <row r="80" customFormat="false" ht="15" hidden="false" customHeight="false" outlineLevel="0" collapsed="false">
      <c r="A80" s="14" t="s">
        <v>347</v>
      </c>
    </row>
  </sheetData>
  <dataValidations count="1">
    <dataValidation allowBlank="false" errorStyle="stop" operator="between" showDropDown="false" showErrorMessage="false" showInputMessage="false" sqref="C6" type="list">
      <formula1>"Downside,Base,Upside"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28" min="5" style="0" width="12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348</v>
      </c>
    </row>
    <row r="3" customFormat="false" ht="15" hidden="false" customHeight="false" outlineLevel="0" collapsed="false">
      <c r="A3" s="14" t="s">
        <v>3</v>
      </c>
    </row>
    <row r="5" customFormat="false" ht="15" hidden="false" customHeight="false" outlineLevel="0" collapsed="false">
      <c r="A5" s="5" t="s">
        <v>349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5" hidden="false" customHeight="false" outlineLevel="0" collapsed="false">
      <c r="A6" s="9" t="s">
        <v>350</v>
      </c>
      <c r="D6" s="58" t="n">
        <f aca="false">'Title Economics'!$D$108</f>
        <v>2596414.0309392</v>
      </c>
    </row>
    <row r="7" customFormat="false" ht="15" hidden="false" customHeight="false" outlineLevel="0" collapsed="false">
      <c r="A7" s="9" t="s">
        <v>351</v>
      </c>
      <c r="D7" s="58" t="n">
        <f aca="false">'Title Economics'!$D$109</f>
        <v>382094.227393724</v>
      </c>
    </row>
    <row r="8" customFormat="false" ht="15" hidden="false" customHeight="false" outlineLevel="0" collapsed="false">
      <c r="A8" s="9" t="s">
        <v>352</v>
      </c>
      <c r="D8" s="58" t="n">
        <f aca="false">'Title Economics'!$D$110</f>
        <v>284289.524103501</v>
      </c>
    </row>
    <row r="9" customFormat="false" ht="15" hidden="false" customHeight="false" outlineLevel="0" collapsed="false">
      <c r="A9" s="9" t="s">
        <v>353</v>
      </c>
      <c r="D9" s="58" t="n">
        <f aca="false">'Title Economics'!$D$111</f>
        <v>754257.275154275</v>
      </c>
    </row>
    <row r="10" customFormat="false" ht="15" hidden="false" customHeight="false" outlineLevel="0" collapsed="false">
      <c r="A10" s="9" t="s">
        <v>95</v>
      </c>
      <c r="D10" s="59" t="n">
        <f aca="false">Assumptions!$C$34</f>
        <v>0.963314895685574</v>
      </c>
    </row>
    <row r="11" customFormat="false" ht="15" hidden="false" customHeight="false" outlineLevel="0" collapsed="false">
      <c r="A11" s="9" t="s">
        <v>333</v>
      </c>
      <c r="D11" s="58" t="n">
        <f aca="false">Scenarios!$C$66</f>
        <v>1498516.65585667</v>
      </c>
    </row>
    <row r="12" customFormat="false" ht="15" hidden="false" customHeight="false" outlineLevel="0" collapsed="false">
      <c r="A12" s="9" t="s">
        <v>354</v>
      </c>
      <c r="D12" s="58" t="n">
        <f aca="false">Scenarios!$C$62</f>
        <v>2500000</v>
      </c>
    </row>
    <row r="13" customFormat="false" ht="15" hidden="false" customHeight="false" outlineLevel="0" collapsed="false">
      <c r="A13" s="9" t="s">
        <v>355</v>
      </c>
      <c r="D13" s="57" t="n">
        <f aca="false">Scenarios!$D$50</f>
        <v>15970795.3333333</v>
      </c>
    </row>
    <row r="14" customFormat="false" ht="15" hidden="false" customHeight="false" outlineLevel="0" collapsed="false">
      <c r="A14" s="9" t="s">
        <v>356</v>
      </c>
      <c r="D14" s="60" t="n">
        <f aca="false">Scenarios!$D$51/'Monthly Viewing Forecast'!$D$78*1000</f>
        <v>23.874162472291</v>
      </c>
      <c r="F14" s="14" t="s">
        <v>357</v>
      </c>
    </row>
    <row r="16" customFormat="false" ht="15" hidden="false" customHeight="false" outlineLevel="0" collapsed="false">
      <c r="A16" s="5" t="s">
        <v>358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14" t="s">
        <v>359</v>
      </c>
    </row>
    <row r="18" customFormat="false" ht="15" hidden="false" customHeight="false" outlineLevel="0" collapsed="false">
      <c r="C18" s="24" t="s">
        <v>360</v>
      </c>
      <c r="D18" s="61" t="n">
        <v>0.85</v>
      </c>
      <c r="E18" s="61" t="n">
        <v>0.9</v>
      </c>
      <c r="F18" s="61" t="n">
        <v>0.95</v>
      </c>
      <c r="G18" s="61" t="n">
        <v>1</v>
      </c>
      <c r="H18" s="61" t="n">
        <v>1.05</v>
      </c>
      <c r="I18" s="61" t="n">
        <v>1.1</v>
      </c>
      <c r="J18" s="61" t="n">
        <v>1.15</v>
      </c>
    </row>
    <row r="19" customFormat="false" ht="15" hidden="false" customHeight="false" outlineLevel="0" collapsed="false">
      <c r="C19" s="51" t="n">
        <v>0.8</v>
      </c>
      <c r="D19" s="41" t="n">
        <f aca="false">Sensitivities!$D$6*$C19*D$18+Sensitivities!$D$7*$C19-Sensitivities!$D$8*$C19-Sensitivities!$D$9-Sensitivities!$D$11*Sensitivities!$D$10</f>
        <v>-353995.387503102</v>
      </c>
      <c r="E19" s="41" t="n">
        <f aca="false">Sensitivities!$D$6*$C19*E$18+Sensitivities!$D$7*$C19-Sensitivities!$D$8*$C19-Sensitivities!$D$9-Sensitivities!$D$11*Sensitivities!$D$10</f>
        <v>-250138.826265534</v>
      </c>
      <c r="F19" s="41" t="n">
        <f aca="false">Sensitivities!$D$6*$C19*F$18+Sensitivities!$D$7*$C19-Sensitivities!$D$8*$C19-Sensitivities!$D$9-Sensitivities!$D$11*Sensitivities!$D$10</f>
        <v>-146282.265027966</v>
      </c>
      <c r="G19" s="41" t="n">
        <f aca="false">Sensitivities!$D$6*$C19*G$18+Sensitivities!$D$7*$C19-Sensitivities!$D$8*$C19-Sensitivities!$D$9-Sensitivities!$D$11*Sensitivities!$D$10</f>
        <v>-42425.7037903979</v>
      </c>
      <c r="H19" s="41" t="n">
        <f aca="false">Sensitivities!$D$6*$C19*H$18+Sensitivities!$D$7*$C19-Sensitivities!$D$8*$C19-Sensitivities!$D$9-Sensitivities!$D$11*Sensitivities!$D$10</f>
        <v>61430.8574471702</v>
      </c>
      <c r="I19" s="41" t="n">
        <f aca="false">Sensitivities!$D$6*$C19*I$18+Sensitivities!$D$7*$C19-Sensitivities!$D$8*$C19-Sensitivities!$D$9-Sensitivities!$D$11*Sensitivities!$D$10</f>
        <v>165287.418684739</v>
      </c>
      <c r="J19" s="41" t="n">
        <f aca="false">Sensitivities!$D$6*$C19*J$18+Sensitivities!$D$7*$C19-Sensitivities!$D$8*$C19-Sensitivities!$D$9-Sensitivities!$D$11*Sensitivities!$D$10</f>
        <v>269143.979922306</v>
      </c>
    </row>
    <row r="20" customFormat="false" ht="15" hidden="false" customHeight="false" outlineLevel="0" collapsed="false">
      <c r="C20" s="51" t="n">
        <v>0.85</v>
      </c>
      <c r="D20" s="41" t="n">
        <f aca="false">Sensitivities!$D$6*$C20*D$18+Sensitivities!$D$7*$C20-Sensitivities!$D$8*$C20-Sensitivities!$D$9-Sensitivities!$D$11*Sensitivities!$D$10</f>
        <v>-238757.556023675</v>
      </c>
      <c r="E20" s="41" t="n">
        <f aca="false">Sensitivities!$D$6*$C20*E$18+Sensitivities!$D$7*$C20-Sensitivities!$D$8*$C20-Sensitivities!$D$9-Sensitivities!$D$11*Sensitivities!$D$10</f>
        <v>-128409.959708759</v>
      </c>
      <c r="F20" s="41" t="n">
        <f aca="false">Sensitivities!$D$6*$C20*F$18+Sensitivities!$D$7*$C20-Sensitivities!$D$8*$C20-Sensitivities!$D$9-Sensitivities!$D$11*Sensitivities!$D$10</f>
        <v>-18062.3633938427</v>
      </c>
      <c r="G20" s="41" t="n">
        <f aca="false">Sensitivities!$D$6*$C20*G$18+Sensitivities!$D$7*$C20-Sensitivities!$D$8*$C20-Sensitivities!$D$9-Sensitivities!$D$11*Sensitivities!$D$10</f>
        <v>92285.2329210737</v>
      </c>
      <c r="H20" s="41" t="n">
        <f aca="false">Sensitivities!$D$6*$C20*H$18+Sensitivities!$D$7*$C20-Sensitivities!$D$8*$C20-Sensitivities!$D$9-Sensitivities!$D$11*Sensitivities!$D$10</f>
        <v>202632.82923599</v>
      </c>
      <c r="I20" s="41" t="n">
        <f aca="false">Sensitivities!$D$6*$C20*I$18+Sensitivities!$D$7*$C20-Sensitivities!$D$8*$C20-Sensitivities!$D$9-Sensitivities!$D$11*Sensitivities!$D$10</f>
        <v>312980.425550906</v>
      </c>
      <c r="J20" s="41" t="n">
        <f aca="false">Sensitivities!$D$6*$C20*J$18+Sensitivities!$D$7*$C20-Sensitivities!$D$8*$C20-Sensitivities!$D$9-Sensitivities!$D$11*Sensitivities!$D$10</f>
        <v>423328.021865822</v>
      </c>
    </row>
    <row r="21" customFormat="false" ht="15" hidden="false" customHeight="false" outlineLevel="0" collapsed="false">
      <c r="C21" s="51" t="n">
        <v>0.9</v>
      </c>
      <c r="D21" s="41" t="n">
        <f aca="false">Sensitivities!$D$6*$C21*D$18+Sensitivities!$D$7*$C21-Sensitivities!$D$8*$C21-Sensitivities!$D$9-Sensitivities!$D$11*Sensitivities!$D$10</f>
        <v>-123519.724544247</v>
      </c>
      <c r="E21" s="41" t="n">
        <f aca="false">Sensitivities!$D$6*$C21*E$18+Sensitivities!$D$7*$C21-Sensitivities!$D$8*$C21-Sensitivities!$D$9-Sensitivities!$D$11*Sensitivities!$D$10</f>
        <v>-6681.09315198287</v>
      </c>
      <c r="F21" s="41" t="n">
        <f aca="false">Sensitivities!$D$6*$C21*F$18+Sensitivities!$D$7*$C21-Sensitivities!$D$8*$C21-Sensitivities!$D$9-Sensitivities!$D$11*Sensitivities!$D$10</f>
        <v>110157.538240281</v>
      </c>
      <c r="G21" s="41" t="n">
        <f aca="false">Sensitivities!$D$6*$C21*G$18+Sensitivities!$D$7*$C21-Sensitivities!$D$8*$C21-Sensitivities!$D$9-Sensitivities!$D$11*Sensitivities!$D$10</f>
        <v>226996.169632545</v>
      </c>
      <c r="H21" s="41" t="n">
        <f aca="false">Sensitivities!$D$6*$C21*H$18+Sensitivities!$D$7*$C21-Sensitivities!$D$8*$C21-Sensitivities!$D$9-Sensitivities!$D$11*Sensitivities!$D$10</f>
        <v>343834.80102481</v>
      </c>
      <c r="I21" s="41" t="n">
        <f aca="false">Sensitivities!$D$6*$C21*I$18+Sensitivities!$D$7*$C21-Sensitivities!$D$8*$C21-Sensitivities!$D$9-Sensitivities!$D$11*Sensitivities!$D$10</f>
        <v>460673.432417074</v>
      </c>
      <c r="J21" s="41" t="n">
        <f aca="false">Sensitivities!$D$6*$C21*J$18+Sensitivities!$D$7*$C21-Sensitivities!$D$8*$C21-Sensitivities!$D$9-Sensitivities!$D$11*Sensitivities!$D$10</f>
        <v>577512.063809338</v>
      </c>
    </row>
    <row r="22" customFormat="false" ht="15" hidden="false" customHeight="false" outlineLevel="0" collapsed="false">
      <c r="C22" s="51" t="n">
        <v>0.95</v>
      </c>
      <c r="D22" s="41" t="n">
        <f aca="false">Sensitivities!$D$6*$C22*D$18+Sensitivities!$D$7*$C22-Sensitivities!$D$8*$C22-Sensitivities!$D$9-Sensitivities!$D$11*Sensitivities!$D$10</f>
        <v>-8281.89306481974</v>
      </c>
      <c r="E22" s="41" t="n">
        <f aca="false">Sensitivities!$D$6*$C22*E$18+Sensitivities!$D$7*$C22-Sensitivities!$D$8*$C22-Sensitivities!$D$9-Sensitivities!$D$11*Sensitivities!$D$10</f>
        <v>115047.773404792</v>
      </c>
      <c r="F22" s="41" t="n">
        <f aca="false">Sensitivities!$D$6*$C22*F$18+Sensitivities!$D$7*$C22-Sensitivities!$D$8*$C22-Sensitivities!$D$9-Sensitivities!$D$11*Sensitivities!$D$10</f>
        <v>238377.439874405</v>
      </c>
      <c r="G22" s="41" t="n">
        <f aca="false">Sensitivities!$D$6*$C22*G$18+Sensitivities!$D$7*$C22-Sensitivities!$D$8*$C22-Sensitivities!$D$9-Sensitivities!$D$11*Sensitivities!$D$10</f>
        <v>361707.106344017</v>
      </c>
      <c r="H22" s="41" t="n">
        <f aca="false">Sensitivities!$D$6*$C22*H$18+Sensitivities!$D$7*$C22-Sensitivities!$D$8*$C22-Sensitivities!$D$9-Sensitivities!$D$11*Sensitivities!$D$10</f>
        <v>485036.772813629</v>
      </c>
      <c r="I22" s="41" t="n">
        <f aca="false">Sensitivities!$D$6*$C22*I$18+Sensitivities!$D$7*$C22-Sensitivities!$D$8*$C22-Sensitivities!$D$9-Sensitivities!$D$11*Sensitivities!$D$10</f>
        <v>608366.439283241</v>
      </c>
      <c r="J22" s="41" t="n">
        <f aca="false">Sensitivities!$D$6*$C22*J$18+Sensitivities!$D$7*$C22-Sensitivities!$D$8*$C22-Sensitivities!$D$9-Sensitivities!$D$11*Sensitivities!$D$10</f>
        <v>731696.105752853</v>
      </c>
    </row>
    <row r="23" customFormat="false" ht="15" hidden="false" customHeight="false" outlineLevel="0" collapsed="false">
      <c r="C23" s="51" t="n">
        <v>1</v>
      </c>
      <c r="D23" s="41" t="n">
        <f aca="false">Sensitivities!$D$6*$C23*D$18+Sensitivities!$D$7*$C23-Sensitivities!$D$8*$C23-Sensitivities!$D$9-Sensitivities!$D$11*Sensitivities!$D$10</f>
        <v>106955.938414607</v>
      </c>
      <c r="E23" s="41" t="n">
        <f aca="false">Sensitivities!$D$6*$C23*E$18+Sensitivities!$D$7*$C23-Sensitivities!$D$8*$C23-Sensitivities!$D$9-Sensitivities!$D$11*Sensitivities!$D$10</f>
        <v>236776.639961567</v>
      </c>
      <c r="F23" s="41" t="n">
        <f aca="false">Sensitivities!$D$6*$C23*F$18+Sensitivities!$D$7*$C23-Sensitivities!$D$8*$C23-Sensitivities!$D$9-Sensitivities!$D$11*Sensitivities!$D$10</f>
        <v>366597.341508527</v>
      </c>
      <c r="G23" s="41" t="n">
        <f aca="false">Sensitivities!$D$6*$C23*G$18+Sensitivities!$D$7*$C23-Sensitivities!$D$8*$C23-Sensitivities!$D$9-Sensitivities!$D$11*Sensitivities!$D$10</f>
        <v>496418.043055487</v>
      </c>
      <c r="H23" s="41" t="n">
        <f aca="false">Sensitivities!$D$6*$C23*H$18+Sensitivities!$D$7*$C23-Sensitivities!$D$8*$C23-Sensitivities!$D$9-Sensitivities!$D$11*Sensitivities!$D$10</f>
        <v>626238.744602447</v>
      </c>
      <c r="I23" s="41" t="n">
        <f aca="false">Sensitivities!$D$6*$C23*I$18+Sensitivities!$D$7*$C23-Sensitivities!$D$8*$C23-Sensitivities!$D$9-Sensitivities!$D$11*Sensitivities!$D$10</f>
        <v>756059.446149408</v>
      </c>
      <c r="J23" s="41" t="n">
        <f aca="false">Sensitivities!$D$6*$C23*J$18+Sensitivities!$D$7*$C23-Sensitivities!$D$8*$C23-Sensitivities!$D$9-Sensitivities!$D$11*Sensitivities!$D$10</f>
        <v>885880.147696368</v>
      </c>
    </row>
    <row r="24" customFormat="false" ht="15" hidden="false" customHeight="false" outlineLevel="0" collapsed="false">
      <c r="C24" s="51" t="n">
        <v>1.05</v>
      </c>
      <c r="D24" s="41" t="n">
        <f aca="false">Sensitivities!$D$6*$C24*D$18+Sensitivities!$D$7*$C24-Sensitivities!$D$8*$C24-Sensitivities!$D$9-Sensitivities!$D$11*Sensitivities!$D$10</f>
        <v>222193.769894034</v>
      </c>
      <c r="E24" s="41" t="n">
        <f aca="false">Sensitivities!$D$6*$C24*E$18+Sensitivities!$D$7*$C24-Sensitivities!$D$8*$C24-Sensitivities!$D$9-Sensitivities!$D$11*Sensitivities!$D$10</f>
        <v>358505.506518343</v>
      </c>
      <c r="F24" s="41" t="n">
        <f aca="false">Sensitivities!$D$6*$C24*F$18+Sensitivities!$D$7*$C24-Sensitivities!$D$8*$C24-Sensitivities!$D$9-Sensitivities!$D$11*Sensitivities!$D$10</f>
        <v>494817.24314265</v>
      </c>
      <c r="G24" s="41" t="n">
        <f aca="false">Sensitivities!$D$6*$C24*G$18+Sensitivities!$D$7*$C24-Sensitivities!$D$8*$C24-Sensitivities!$D$9-Sensitivities!$D$11*Sensitivities!$D$10</f>
        <v>631128.979766959</v>
      </c>
      <c r="H24" s="41" t="n">
        <f aca="false">Sensitivities!$D$6*$C24*H$18+Sensitivities!$D$7*$C24-Sensitivities!$D$8*$C24-Sensitivities!$D$9-Sensitivities!$D$11*Sensitivities!$D$10</f>
        <v>767440.716391267</v>
      </c>
      <c r="I24" s="41" t="n">
        <f aca="false">Sensitivities!$D$6*$C24*I$18+Sensitivities!$D$7*$C24-Sensitivities!$D$8*$C24-Sensitivities!$D$9-Sensitivities!$D$11*Sensitivities!$D$10</f>
        <v>903752.453015576</v>
      </c>
      <c r="J24" s="41" t="n">
        <f aca="false">Sensitivities!$D$6*$C24*J$18+Sensitivities!$D$7*$C24-Sensitivities!$D$8*$C24-Sensitivities!$D$9-Sensitivities!$D$11*Sensitivities!$D$10</f>
        <v>1040064.18963988</v>
      </c>
    </row>
    <row r="25" customFormat="false" ht="15" hidden="false" customHeight="false" outlineLevel="0" collapsed="false">
      <c r="C25" s="51" t="n">
        <v>1.1</v>
      </c>
      <c r="D25" s="41" t="n">
        <f aca="false">Sensitivities!$D$6*$C25*D$18+Sensitivities!$D$7*$C25-Sensitivities!$D$8*$C25-Sensitivities!$D$9-Sensitivities!$D$11*Sensitivities!$D$10</f>
        <v>337431.601373462</v>
      </c>
      <c r="E25" s="41" t="n">
        <f aca="false">Sensitivities!$D$6*$C25*E$18+Sensitivities!$D$7*$C25-Sensitivities!$D$8*$C25-Sensitivities!$D$9-Sensitivities!$D$11*Sensitivities!$D$10</f>
        <v>480234.373075118</v>
      </c>
      <c r="F25" s="41" t="n">
        <f aca="false">Sensitivities!$D$6*$C25*F$18+Sensitivities!$D$7*$C25-Sensitivities!$D$8*$C25-Sensitivities!$D$9-Sensitivities!$D$11*Sensitivities!$D$10</f>
        <v>623037.144776774</v>
      </c>
      <c r="G25" s="41" t="n">
        <f aca="false">Sensitivities!$D$6*$C25*G$18+Sensitivities!$D$7*$C25-Sensitivities!$D$8*$C25-Sensitivities!$D$9-Sensitivities!$D$11*Sensitivities!$D$10</f>
        <v>765839.91647843</v>
      </c>
      <c r="H25" s="41" t="n">
        <f aca="false">Sensitivities!$D$6*$C25*H$18+Sensitivities!$D$7*$C25-Sensitivities!$D$8*$C25-Sensitivities!$D$9-Sensitivities!$D$11*Sensitivities!$D$10</f>
        <v>908642.688180087</v>
      </c>
      <c r="I25" s="41" t="n">
        <f aca="false">Sensitivities!$D$6*$C25*I$18+Sensitivities!$D$7*$C25-Sensitivities!$D$8*$C25-Sensitivities!$D$9-Sensitivities!$D$11*Sensitivities!$D$10</f>
        <v>1051445.45988174</v>
      </c>
      <c r="J25" s="41" t="n">
        <f aca="false">Sensitivities!$D$6*$C25*J$18+Sensitivities!$D$7*$C25-Sensitivities!$D$8*$C25-Sensitivities!$D$9-Sensitivities!$D$11*Sensitivities!$D$10</f>
        <v>1194248.2315834</v>
      </c>
    </row>
    <row r="26" customFormat="false" ht="15" hidden="false" customHeight="false" outlineLevel="0" collapsed="false">
      <c r="C26" s="51" t="n">
        <v>1.15</v>
      </c>
      <c r="D26" s="41" t="n">
        <f aca="false">Sensitivities!$D$6*$C26*D$18+Sensitivities!$D$7*$C26-Sensitivities!$D$8*$C26-Sensitivities!$D$9-Sensitivities!$D$11*Sensitivities!$D$10</f>
        <v>452669.432852889</v>
      </c>
      <c r="E26" s="41" t="n">
        <f aca="false">Sensitivities!$D$6*$C26*E$18+Sensitivities!$D$7*$C26-Sensitivities!$D$8*$C26-Sensitivities!$D$9-Sensitivities!$D$11*Sensitivities!$D$10</f>
        <v>601963.239631893</v>
      </c>
      <c r="F26" s="41" t="n">
        <f aca="false">Sensitivities!$D$6*$C26*F$18+Sensitivities!$D$7*$C26-Sensitivities!$D$8*$C26-Sensitivities!$D$9-Sensitivities!$D$11*Sensitivities!$D$10</f>
        <v>751257.046410897</v>
      </c>
      <c r="G26" s="41" t="n">
        <f aca="false">Sensitivities!$D$6*$C26*G$18+Sensitivities!$D$7*$C26-Sensitivities!$D$8*$C26-Sensitivities!$D$9-Sensitivities!$D$11*Sensitivities!$D$10</f>
        <v>900550.853189901</v>
      </c>
      <c r="H26" s="41" t="n">
        <f aca="false">Sensitivities!$D$6*$C26*H$18+Sensitivities!$D$7*$C26-Sensitivities!$D$8*$C26-Sensitivities!$D$9-Sensitivities!$D$11*Sensitivities!$D$10</f>
        <v>1049844.65996891</v>
      </c>
      <c r="I26" s="41" t="n">
        <f aca="false">Sensitivities!$D$6*$C26*I$18+Sensitivities!$D$7*$C26-Sensitivities!$D$8*$C26-Sensitivities!$D$9-Sensitivities!$D$11*Sensitivities!$D$10</f>
        <v>1199138.46674791</v>
      </c>
      <c r="J26" s="41" t="n">
        <f aca="false">Sensitivities!$D$6*$C26*J$18+Sensitivities!$D$7*$C26-Sensitivities!$D$8*$C26-Sensitivities!$D$9-Sensitivities!$D$11*Sensitivities!$D$10</f>
        <v>1348432.27352691</v>
      </c>
    </row>
    <row r="27" customFormat="false" ht="15" hidden="false" customHeight="false" outlineLevel="0" collapsed="false">
      <c r="C27" s="51" t="n">
        <v>1.2</v>
      </c>
      <c r="D27" s="41" t="n">
        <f aca="false">Sensitivities!$D$6*$C27*D$18+Sensitivities!$D$7*$C27-Sensitivities!$D$8*$C27-Sensitivities!$D$9-Sensitivities!$D$11*Sensitivities!$D$10</f>
        <v>567907.264332316</v>
      </c>
      <c r="E27" s="41" t="n">
        <f aca="false">Sensitivities!$D$6*$C27*E$18+Sensitivities!$D$7*$C27-Sensitivities!$D$8*$C27-Sensitivities!$D$9-Sensitivities!$D$11*Sensitivities!$D$10</f>
        <v>723692.106188669</v>
      </c>
      <c r="F27" s="41" t="n">
        <f aca="false">Sensitivities!$D$6*$C27*F$18+Sensitivities!$D$7*$C27-Sensitivities!$D$8*$C27-Sensitivities!$D$9-Sensitivities!$D$11*Sensitivities!$D$10</f>
        <v>879476.948045021</v>
      </c>
      <c r="G27" s="41" t="n">
        <f aca="false">Sensitivities!$D$6*$C27*G$18+Sensitivities!$D$7*$C27-Sensitivities!$D$8*$C27-Sensitivities!$D$9-Sensitivities!$D$11*Sensitivities!$D$10</f>
        <v>1035261.78990137</v>
      </c>
      <c r="H27" s="41" t="n">
        <f aca="false">Sensitivities!$D$6*$C27*H$18+Sensitivities!$D$7*$C27-Sensitivities!$D$8*$C27-Sensitivities!$D$9-Sensitivities!$D$11*Sensitivities!$D$10</f>
        <v>1191046.63175773</v>
      </c>
      <c r="I27" s="41" t="n">
        <f aca="false">Sensitivities!$D$6*$C27*I$18+Sensitivities!$D$7*$C27-Sensitivities!$D$8*$C27-Sensitivities!$D$9-Sensitivities!$D$11*Sensitivities!$D$10</f>
        <v>1346831.47361408</v>
      </c>
      <c r="J27" s="41" t="n">
        <f aca="false">Sensitivities!$D$6*$C27*J$18+Sensitivities!$D$7*$C27-Sensitivities!$D$8*$C27-Sensitivities!$D$9-Sensitivities!$D$11*Sensitivities!$D$10</f>
        <v>1502616.31547043</v>
      </c>
    </row>
    <row r="29" customFormat="false" ht="15" hidden="false" customHeight="false" outlineLevel="0" collapsed="false">
      <c r="A29" s="5" t="s">
        <v>361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false" outlineLevel="0" collapsed="false">
      <c r="A30" s="14" t="s">
        <v>362</v>
      </c>
    </row>
    <row r="31" customFormat="false" ht="15" hidden="false" customHeight="false" outlineLevel="0" collapsed="false">
      <c r="C31" s="24" t="s">
        <v>363</v>
      </c>
      <c r="D31" s="61" t="n">
        <v>0.9</v>
      </c>
      <c r="E31" s="61" t="n">
        <v>0.95</v>
      </c>
      <c r="F31" s="61" t="n">
        <v>1</v>
      </c>
      <c r="G31" s="61" t="n">
        <v>1.05</v>
      </c>
      <c r="H31" s="61" t="n">
        <v>1.1</v>
      </c>
    </row>
    <row r="32" customFormat="false" ht="15" hidden="false" customHeight="false" outlineLevel="0" collapsed="false">
      <c r="C32" s="62" t="n">
        <v>1100000</v>
      </c>
      <c r="D32" s="41" t="n">
        <f aca="false">(Sensitivities!$D$6+Sensitivities!$D$7)*D$31-Sensitivities!$D$8-Sensitivities!$D$9-$C32*Sensitivities!$D$10</f>
        <v>582464.247987727</v>
      </c>
      <c r="E32" s="41" t="n">
        <f aca="false">(Sensitivities!$D$6+Sensitivities!$D$7)*E$31-Sensitivities!$D$8-Sensitivities!$D$9-$C32*Sensitivities!$D$10</f>
        <v>731389.660904373</v>
      </c>
      <c r="F32" s="41" t="n">
        <f aca="false">(Sensitivities!$D$6+Sensitivities!$D$7)*F$31-Sensitivities!$D$8-Sensitivities!$D$9-$C32*Sensitivities!$D$10</f>
        <v>880315.073821019</v>
      </c>
      <c r="G32" s="41" t="n">
        <f aca="false">(Sensitivities!$D$6+Sensitivities!$D$7)*G$31-Sensitivities!$D$8-Sensitivities!$D$9-$C32*Sensitivities!$D$10</f>
        <v>1029240.48673767</v>
      </c>
      <c r="H32" s="41" t="n">
        <f aca="false">(Sensitivities!$D$6+Sensitivities!$D$7)*H$31-Sensitivities!$D$8-Sensitivities!$D$9-$C32*Sensitivities!$D$10</f>
        <v>1178165.89965431</v>
      </c>
    </row>
    <row r="33" customFormat="false" ht="15" hidden="false" customHeight="false" outlineLevel="0" collapsed="false">
      <c r="C33" s="62" t="n">
        <v>1300000</v>
      </c>
      <c r="D33" s="41" t="n">
        <f aca="false">(Sensitivities!$D$6+Sensitivities!$D$7)*D$31-Sensitivities!$D$8-Sensitivities!$D$9-$C33*Sensitivities!$D$10</f>
        <v>389801.268850612</v>
      </c>
      <c r="E33" s="41" t="n">
        <f aca="false">(Sensitivities!$D$6+Sensitivities!$D$7)*E$31-Sensitivities!$D$8-Sensitivities!$D$9-$C33*Sensitivities!$D$10</f>
        <v>538726.681767258</v>
      </c>
      <c r="F33" s="41" t="n">
        <f aca="false">(Sensitivities!$D$6+Sensitivities!$D$7)*F$31-Sensitivities!$D$8-Sensitivities!$D$9-$C33*Sensitivities!$D$10</f>
        <v>687652.094683904</v>
      </c>
      <c r="G33" s="41" t="n">
        <f aca="false">(Sensitivities!$D$6+Sensitivities!$D$7)*G$31-Sensitivities!$D$8-Sensitivities!$D$9-$C33*Sensitivities!$D$10</f>
        <v>836577.507600551</v>
      </c>
      <c r="H33" s="41" t="n">
        <f aca="false">(Sensitivities!$D$6+Sensitivities!$D$7)*H$31-Sensitivities!$D$8-Sensitivities!$D$9-$C33*Sensitivities!$D$10</f>
        <v>985502.920517198</v>
      </c>
    </row>
    <row r="34" customFormat="false" ht="15" hidden="false" customHeight="false" outlineLevel="0" collapsed="false">
      <c r="C34" s="62" t="n">
        <v>1500000</v>
      </c>
      <c r="D34" s="41" t="n">
        <f aca="false">(Sensitivities!$D$6+Sensitivities!$D$7)*D$31-Sensitivities!$D$8-Sensitivities!$D$9-$C34*Sensitivities!$D$10</f>
        <v>197138.289713497</v>
      </c>
      <c r="E34" s="41" t="n">
        <f aca="false">(Sensitivities!$D$6+Sensitivities!$D$7)*E$31-Sensitivities!$D$8-Sensitivities!$D$9-$C34*Sensitivities!$D$10</f>
        <v>346063.702630143</v>
      </c>
      <c r="F34" s="41" t="n">
        <f aca="false">(Sensitivities!$D$6+Sensitivities!$D$7)*F$31-Sensitivities!$D$8-Sensitivities!$D$9-$C34*Sensitivities!$D$10</f>
        <v>494989.11554679</v>
      </c>
      <c r="G34" s="41" t="n">
        <f aca="false">(Sensitivities!$D$6+Sensitivities!$D$7)*G$31-Sensitivities!$D$8-Sensitivities!$D$9-$C34*Sensitivities!$D$10</f>
        <v>643914.528463436</v>
      </c>
      <c r="H34" s="41" t="n">
        <f aca="false">(Sensitivities!$D$6+Sensitivities!$D$7)*H$31-Sensitivities!$D$8-Sensitivities!$D$9-$C34*Sensitivities!$D$10</f>
        <v>792839.941380083</v>
      </c>
    </row>
    <row r="35" customFormat="false" ht="15" hidden="false" customHeight="false" outlineLevel="0" collapsed="false">
      <c r="C35" s="62" t="n">
        <v>1700000</v>
      </c>
      <c r="D35" s="41" t="n">
        <f aca="false">(Sensitivities!$D$6+Sensitivities!$D$7)*D$31-Sensitivities!$D$8-Sensitivities!$D$9-$C35*Sensitivities!$D$10</f>
        <v>4475.31057638209</v>
      </c>
      <c r="E35" s="41" t="n">
        <f aca="false">(Sensitivities!$D$6+Sensitivities!$D$7)*E$31-Sensitivities!$D$8-Sensitivities!$D$9-$C35*Sensitivities!$D$10</f>
        <v>153400.723493028</v>
      </c>
      <c r="F35" s="41" t="n">
        <f aca="false">(Sensitivities!$D$6+Sensitivities!$D$7)*F$31-Sensitivities!$D$8-Sensitivities!$D$9-$C35*Sensitivities!$D$10</f>
        <v>302326.136409675</v>
      </c>
      <c r="G35" s="41" t="n">
        <f aca="false">(Sensitivities!$D$6+Sensitivities!$D$7)*G$31-Sensitivities!$D$8-Sensitivities!$D$9-$C35*Sensitivities!$D$10</f>
        <v>451251.549326321</v>
      </c>
      <c r="H35" s="41" t="n">
        <f aca="false">(Sensitivities!$D$6+Sensitivities!$D$7)*H$31-Sensitivities!$D$8-Sensitivities!$D$9-$C35*Sensitivities!$D$10</f>
        <v>600176.962242968</v>
      </c>
    </row>
    <row r="36" customFormat="false" ht="15" hidden="false" customHeight="false" outlineLevel="0" collapsed="false">
      <c r="C36" s="62" t="n">
        <v>1900000</v>
      </c>
      <c r="D36" s="41" t="n">
        <f aca="false">(Sensitivities!$D$6+Sensitivities!$D$7)*D$31-Sensitivities!$D$8-Sensitivities!$D$9-$C36*Sensitivities!$D$10</f>
        <v>-188187.668560733</v>
      </c>
      <c r="E36" s="41" t="n">
        <f aca="false">(Sensitivities!$D$6+Sensitivities!$D$7)*E$31-Sensitivities!$D$8-Sensitivities!$D$9-$C36*Sensitivities!$D$10</f>
        <v>-39262.2556440863</v>
      </c>
      <c r="F36" s="41" t="n">
        <f aca="false">(Sensitivities!$D$6+Sensitivities!$D$7)*F$31-Sensitivities!$D$8-Sensitivities!$D$9-$C36*Sensitivities!$D$10</f>
        <v>109663.15727256</v>
      </c>
      <c r="G36" s="41" t="n">
        <f aca="false">(Sensitivities!$D$6+Sensitivities!$D$7)*G$31-Sensitivities!$D$8-Sensitivities!$D$9-$C36*Sensitivities!$D$10</f>
        <v>258588.570189206</v>
      </c>
      <c r="H36" s="41" t="n">
        <f aca="false">(Sensitivities!$D$6+Sensitivities!$D$7)*H$31-Sensitivities!$D$8-Sensitivities!$D$9-$C36*Sensitivities!$D$10</f>
        <v>407513.983105853</v>
      </c>
    </row>
    <row r="37" customFormat="false" ht="15" hidden="false" customHeight="false" outlineLevel="0" collapsed="false">
      <c r="C37" s="62" t="n">
        <v>2100000</v>
      </c>
      <c r="D37" s="41" t="n">
        <f aca="false">(Sensitivities!$D$6+Sensitivities!$D$7)*D$31-Sensitivities!$D$8-Sensitivities!$D$9-$C37*Sensitivities!$D$10</f>
        <v>-380850.647697847</v>
      </c>
      <c r="E37" s="41" t="n">
        <f aca="false">(Sensitivities!$D$6+Sensitivities!$D$7)*E$31-Sensitivities!$D$8-Sensitivities!$D$9-$C37*Sensitivities!$D$10</f>
        <v>-231925.234781201</v>
      </c>
      <c r="F37" s="41" t="n">
        <f aca="false">(Sensitivities!$D$6+Sensitivities!$D$7)*F$31-Sensitivities!$D$8-Sensitivities!$D$9-$C37*Sensitivities!$D$10</f>
        <v>-82999.8218645547</v>
      </c>
      <c r="G37" s="41" t="n">
        <f aca="false">(Sensitivities!$D$6+Sensitivities!$D$7)*G$31-Sensitivities!$D$8-Sensitivities!$D$9-$C37*Sensitivities!$D$10</f>
        <v>65925.5910520917</v>
      </c>
      <c r="H37" s="41" t="n">
        <f aca="false">(Sensitivities!$D$6+Sensitivities!$D$7)*H$31-Sensitivities!$D$8-Sensitivities!$D$9-$C37*Sensitivities!$D$10</f>
        <v>214851.003968738</v>
      </c>
    </row>
    <row r="38" customFormat="false" ht="15" hidden="false" customHeight="false" outlineLevel="0" collapsed="false">
      <c r="C38" s="62" t="n">
        <v>2300000</v>
      </c>
      <c r="D38" s="41" t="n">
        <f aca="false">(Sensitivities!$D$6+Sensitivities!$D$7)*D$31-Sensitivities!$D$8-Sensitivities!$D$9-$C38*Sensitivities!$D$10</f>
        <v>-573513.626834962</v>
      </c>
      <c r="E38" s="41" t="n">
        <f aca="false">(Sensitivities!$D$6+Sensitivities!$D$7)*E$31-Sensitivities!$D$8-Sensitivities!$D$9-$C38*Sensitivities!$D$10</f>
        <v>-424588.213918316</v>
      </c>
      <c r="F38" s="41" t="n">
        <f aca="false">(Sensitivities!$D$6+Sensitivities!$D$7)*F$31-Sensitivities!$D$8-Sensitivities!$D$9-$C38*Sensitivities!$D$10</f>
        <v>-275662.801001669</v>
      </c>
      <c r="G38" s="41" t="n">
        <f aca="false">(Sensitivities!$D$6+Sensitivities!$D$7)*G$31-Sensitivities!$D$8-Sensitivities!$D$9-$C38*Sensitivities!$D$10</f>
        <v>-126737.388085023</v>
      </c>
      <c r="H38" s="41" t="n">
        <f aca="false">(Sensitivities!$D$6+Sensitivities!$D$7)*H$31-Sensitivities!$D$8-Sensitivities!$D$9-$C38*Sensitivities!$D$10</f>
        <v>22188.0248316238</v>
      </c>
    </row>
    <row r="39" customFormat="false" ht="15" hidden="false" customHeight="false" outlineLevel="0" collapsed="false">
      <c r="C39" s="62" t="n">
        <v>2500000</v>
      </c>
      <c r="D39" s="41" t="n">
        <f aca="false">(Sensitivities!$D$6+Sensitivities!$D$7)*D$31-Sensitivities!$D$8-Sensitivities!$D$9-$C39*Sensitivities!$D$10</f>
        <v>-766176.605972077</v>
      </c>
      <c r="E39" s="41" t="n">
        <f aca="false">(Sensitivities!$D$6+Sensitivities!$D$7)*E$31-Sensitivities!$D$8-Sensitivities!$D$9-$C39*Sensitivities!$D$10</f>
        <v>-617251.19305543</v>
      </c>
      <c r="F39" s="41" t="n">
        <f aca="false">(Sensitivities!$D$6+Sensitivities!$D$7)*F$31-Sensitivities!$D$8-Sensitivities!$D$9-$C39*Sensitivities!$D$10</f>
        <v>-468325.780138784</v>
      </c>
      <c r="G39" s="41" t="n">
        <f aca="false">(Sensitivities!$D$6+Sensitivities!$D$7)*G$31-Sensitivities!$D$8-Sensitivities!$D$9-$C39*Sensitivities!$D$10</f>
        <v>-319400.367222138</v>
      </c>
      <c r="H39" s="41" t="n">
        <f aca="false">(Sensitivities!$D$6+Sensitivities!$D$7)*H$31-Sensitivities!$D$8-Sensitivities!$D$9-$C39*Sensitivities!$D$10</f>
        <v>-170474.954305491</v>
      </c>
    </row>
    <row r="41" customFormat="false" ht="15" hidden="false" customHeight="false" outlineLevel="0" collapsed="false">
      <c r="A41" s="5" t="s">
        <v>364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false" outlineLevel="0" collapsed="false">
      <c r="A42" s="9" t="s">
        <v>365</v>
      </c>
      <c r="D42" s="40" t="n">
        <f aca="false">Sensitivities!$D$13*(Sensitivities!$D$9+Sensitivities!$D$11*Sensitivities!$D$10)/(Sensitivities!$D$6+Sensitivities!$D$7-Sensitivities!$D$8)</f>
        <v>13028127.4405275</v>
      </c>
      <c r="F42" s="14" t="s">
        <v>366</v>
      </c>
    </row>
    <row r="43" customFormat="false" ht="15" hidden="false" customHeight="false" outlineLevel="0" collapsed="false">
      <c r="A43" s="9" t="s">
        <v>367</v>
      </c>
      <c r="D43" s="40" t="n">
        <f aca="false">Sensitivities!$D$13*(Sensitivities!$D$9+Sensitivities!$D$12*Sensitivities!$D$10)/(Sensitivities!$D$6+Sensitivities!$D$7-Sensitivities!$D$8)</f>
        <v>18746937.8524594</v>
      </c>
    </row>
    <row r="44" customFormat="false" ht="15" hidden="false" customHeight="false" outlineLevel="0" collapsed="false">
      <c r="A44" s="9" t="s">
        <v>368</v>
      </c>
      <c r="D44" s="21" t="n">
        <f aca="false">1-Sensitivities!$D$42/Sensitivities!$D$13</f>
        <v>0.184253058873287</v>
      </c>
      <c r="F44" s="14" t="s">
        <v>369</v>
      </c>
    </row>
    <row r="45" customFormat="false" ht="15" hidden="false" customHeight="false" outlineLevel="0" collapsed="false">
      <c r="A45" s="9" t="s">
        <v>370</v>
      </c>
      <c r="D45" s="21" t="n">
        <f aca="false">Sensitivities!$D$43/Sensitivities!$D$13-1</f>
        <v>0.173826190943153</v>
      </c>
    </row>
    <row r="46" customFormat="false" ht="15" hidden="false" customHeight="false" outlineLevel="0" collapsed="false">
      <c r="A46" s="9" t="s">
        <v>371</v>
      </c>
      <c r="D46" s="56" t="n">
        <f aca="false">Sensitivities!$D$14*(Sensitivities!$D$9+Sensitivities!$D$11*Sensitivities!$D$10+Sensitivities!$D$8-Sensitivities!$D$7)/Sensitivities!$D$6</f>
        <v>19.3095726677149</v>
      </c>
    </row>
    <row r="47" customFormat="false" ht="15" hidden="false" customHeight="false" outlineLevel="0" collapsed="false">
      <c r="A47" s="9" t="s">
        <v>372</v>
      </c>
      <c r="D47" s="56" t="n">
        <f aca="false">Sensitivities!$D$14*(Sensitivities!$D$9+Sensitivities!$D$12*Sensitivities!$D$10+Sensitivities!$D$8-Sensitivities!$D$7)/Sensitivities!$D$6</f>
        <v>28.1804424537435</v>
      </c>
    </row>
    <row r="48" customFormat="false" ht="15" hidden="false" customHeight="false" outlineLevel="0" collapsed="false">
      <c r="A48" s="9" t="s">
        <v>373</v>
      </c>
      <c r="D48" s="41" t="n">
        <f aca="false">Scenarios!$D$59</f>
        <v>2013839.36630038</v>
      </c>
      <c r="F48" s="14" t="s">
        <v>374</v>
      </c>
    </row>
    <row r="49" customFormat="false" ht="15" hidden="false" customHeight="false" outlineLevel="0" collapsed="false">
      <c r="A49" s="9" t="s">
        <v>375</v>
      </c>
      <c r="D49" s="41" t="n">
        <f aca="false">Scenarios!$C$59</f>
        <v>1514267.28127597</v>
      </c>
    </row>
    <row r="50" customFormat="false" ht="15" hidden="false" customHeight="false" outlineLevel="0" collapsed="false">
      <c r="A50" s="9" t="s">
        <v>376</v>
      </c>
      <c r="D50" s="41" t="n">
        <f aca="false">Scenarios!$E$59</f>
        <v>2641811.42779312</v>
      </c>
    </row>
    <row r="52" customFormat="false" ht="15" hidden="false" customHeight="false" outlineLevel="0" collapsed="false">
      <c r="A52" s="5" t="s">
        <v>377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31.5" hidden="false" customHeight="true" outlineLevel="0" collapsed="false">
      <c r="A53" s="23" t="s">
        <v>378</v>
      </c>
      <c r="B53" s="23" t="s">
        <v>190</v>
      </c>
      <c r="C53" s="47" t="s">
        <v>379</v>
      </c>
      <c r="D53" s="47" t="s">
        <v>380</v>
      </c>
      <c r="E53" s="47" t="s">
        <v>381</v>
      </c>
      <c r="F53" s="47" t="s">
        <v>382</v>
      </c>
      <c r="G53" s="47" t="s">
        <v>383</v>
      </c>
    </row>
    <row r="54" customFormat="false" ht="15" hidden="false" customHeight="false" outlineLevel="0" collapsed="false">
      <c r="A54" s="63" t="n">
        <v>1</v>
      </c>
      <c r="B54" s="64" t="str">
        <f aca="false">INDEX('Title Inputs'!$C$7:$G$7,MATCH(LARGE('Title Economics'!$C$177:$G$177,$A54),'Title Economics'!$C$177:$G$177,0))</f>
        <v>Nightfall Protocol</v>
      </c>
      <c r="C54" s="41" t="n">
        <f aca="false">LARGE('Title Economics'!$C$177:$G$177,$A54)</f>
        <v>1051288.351232</v>
      </c>
      <c r="D54" s="21" t="n">
        <f aca="false">$C54/SUM('Title Economics'!$C$177:$G$177)</f>
        <v>0.497622137344189</v>
      </c>
      <c r="E54" s="21" t="n">
        <f aca="false">SUM($C$54:$C54)/SUM('Title Economics'!$C$177:$G$177)</f>
        <v>0.497622137344189</v>
      </c>
      <c r="F54" s="41" t="n">
        <f aca="false">INDEX('Title Economics'!$C$181:$G$181,MATCH(LARGE('Title Economics'!$C$177:$G$177,$A54),'Title Economics'!$C$177:$G$177,0))</f>
        <v>571763.021357866</v>
      </c>
      <c r="G54" s="41" t="n">
        <f aca="false">INDEX('Title Economics'!$C$191:$G$191,MATCH(LARGE('Title Economics'!$C$177:$G$177,$A54),'Title Economics'!$C$177:$G$177,0))</f>
        <v>344614.372538689</v>
      </c>
    </row>
    <row r="55" customFormat="false" ht="15" hidden="false" customHeight="false" outlineLevel="0" collapsed="false">
      <c r="A55" s="63" t="n">
        <v>2</v>
      </c>
      <c r="B55" s="64" t="str">
        <f aca="false">INDEX('Title Inputs'!$C$7:$G$7,MATCH(LARGE('Title Economics'!$C$177:$G$177,$A55),'Title Economics'!$C$177:$G$177,0))</f>
        <v>Ash Ridge</v>
      </c>
      <c r="C55" s="41" t="n">
        <f aca="false">LARGE('Title Economics'!$C$177:$G$177,$A55)</f>
        <v>625470.780599467</v>
      </c>
      <c r="D55" s="21" t="n">
        <f aca="false">$C55/SUM('Title Economics'!$C$177:$G$177)</f>
        <v>0.296063498015073</v>
      </c>
      <c r="E55" s="21" t="n">
        <f aca="false">SUM($C$54:$C55)/SUM('Title Economics'!$C$177:$G$177)</f>
        <v>0.793685635359262</v>
      </c>
      <c r="F55" s="41" t="n">
        <f aca="false">INDEX('Title Economics'!$C$181:$G$181,MATCH(LARGE('Title Economics'!$C$177:$G$177,$A55),'Title Economics'!$C$177:$G$177,0))</f>
        <v>235856.450076732</v>
      </c>
      <c r="G55" s="41" t="n">
        <f aca="false">INDEX('Title Economics'!$C$191:$G$191,MATCH(LARGE('Title Economics'!$C$177:$G$177,$A55),'Title Economics'!$C$177:$G$177,0))</f>
        <v>91087.6634022238</v>
      </c>
    </row>
    <row r="56" customFormat="false" ht="15" hidden="false" customHeight="false" outlineLevel="0" collapsed="false">
      <c r="A56" s="63" t="n">
        <v>3</v>
      </c>
      <c r="B56" s="64" t="str">
        <f aca="false">INDEX('Title Inputs'!$C$7:$G$7,MATCH(LARGE('Title Economics'!$C$177:$G$177,$A56),'Title Economics'!$C$177:$G$177,0))</f>
        <v>Cold Harbor</v>
      </c>
      <c r="C56" s="41" t="n">
        <f aca="false">LARGE('Title Economics'!$C$177:$G$177,$A56)</f>
        <v>362481.47</v>
      </c>
      <c r="D56" s="21" t="n">
        <f aca="false">$C56/SUM('Title Economics'!$C$177:$G$177)</f>
        <v>0.171578809598412</v>
      </c>
      <c r="E56" s="21" t="n">
        <f aca="false">SUM($C$54:$C56)/SUM('Title Economics'!$C$177:$G$177)</f>
        <v>0.965264444957674</v>
      </c>
      <c r="F56" s="41" t="n">
        <f aca="false">INDEX('Title Economics'!$C$181:$G$181,MATCH(LARGE('Title Economics'!$C$177:$G$177,$A56),'Title Economics'!$C$177:$G$177,0))</f>
        <v>62778.138828666</v>
      </c>
      <c r="G56" s="41" t="n">
        <f aca="false">INDEX('Title Economics'!$C$191:$G$191,MATCH(LARGE('Title Economics'!$C$177:$G$177,$A56),'Title Economics'!$C$177:$G$177,0))</f>
        <v>-28718.5126932693</v>
      </c>
    </row>
    <row r="57" customFormat="false" ht="15" hidden="false" customHeight="false" outlineLevel="0" collapsed="false">
      <c r="A57" s="63" t="n">
        <v>4</v>
      </c>
      <c r="B57" s="64" t="str">
        <f aca="false">INDEX('Title Inputs'!$C$7:$G$7,MATCH(LARGE('Title Economics'!$C$177:$G$177,$A57),'Title Economics'!$C$177:$G$177,0))</f>
        <v>The Quiet Depth</v>
      </c>
      <c r="C57" s="41" t="n">
        <f aca="false">LARGE('Title Economics'!$C$177:$G$177,$A57)</f>
        <v>112253.0576755</v>
      </c>
      <c r="D57" s="21" t="n">
        <f aca="false">$C57/SUM('Title Economics'!$C$177:$G$177)</f>
        <v>0.0531344292157724</v>
      </c>
      <c r="E57" s="21" t="n">
        <f aca="false">SUM($C$54:$C57)/SUM('Title Economics'!$C$177:$G$177)</f>
        <v>1.01839887417345</v>
      </c>
      <c r="F57" s="41" t="n">
        <f aca="false">INDEX('Title Economics'!$C$181:$G$181,MATCH(LARGE('Title Economics'!$C$177:$G$177,$A57),'Title Economics'!$C$177:$G$177,0))</f>
        <v>-82554.1075858672</v>
      </c>
      <c r="G57" s="41" t="n">
        <f aca="false">INDEX('Title Economics'!$C$191:$G$191,MATCH(LARGE('Title Economics'!$C$177:$G$177,$A57),'Title Economics'!$C$177:$G$177,0))</f>
        <v>-124926.008761346</v>
      </c>
    </row>
    <row r="58" customFormat="false" ht="15" hidden="false" customHeight="false" outlineLevel="0" collapsed="false">
      <c r="A58" s="63" t="n">
        <v>5</v>
      </c>
      <c r="B58" s="64" t="str">
        <f aca="false">INDEX('Title Inputs'!$C$7:$G$7,MATCH(LARGE('Title Economics'!$C$177:$G$177,$A58),'Title Economics'!$C$177:$G$177,0))</f>
        <v>Vector Nine</v>
      </c>
      <c r="C58" s="41" t="n">
        <f aca="false">LARGE('Title Economics'!$C$177:$G$177,$A58)</f>
        <v>-38869.89875</v>
      </c>
      <c r="D58" s="21" t="n">
        <f aca="false">$C58/SUM('Title Economics'!$C$177:$G$177)</f>
        <v>-0.0183988741734461</v>
      </c>
      <c r="E58" s="21" t="n">
        <f aca="false">SUM($C$54:$C58)/SUM('Title Economics'!$C$177:$G$177)</f>
        <v>1</v>
      </c>
      <c r="F58" s="41" t="n">
        <f aca="false">INDEX('Title Economics'!$C$181:$G$181,MATCH(LARGE('Title Economics'!$C$177:$G$177,$A58),'Title Economics'!$C$177:$G$177,0))</f>
        <v>-173736.3977771</v>
      </c>
      <c r="G58" s="41" t="n">
        <f aca="false">INDEX('Title Economics'!$C$191:$G$191,MATCH(LARGE('Title Economics'!$C$177:$G$177,$A58),'Title Economics'!$C$177:$G$177,0))</f>
        <v>-186751.899671655</v>
      </c>
    </row>
    <row r="60" customFormat="false" ht="15" hidden="false" customHeight="false" outlineLevel="0" collapsed="false">
      <c r="A60" s="9" t="s">
        <v>384</v>
      </c>
      <c r="D60" s="21" t="n">
        <f aca="false">$D$54</f>
        <v>0.497622137344189</v>
      </c>
    </row>
    <row r="61" customFormat="false" ht="15" hidden="false" customHeight="false" outlineLevel="0" collapsed="false">
      <c r="A61" s="9" t="s">
        <v>385</v>
      </c>
      <c r="D61" s="21" t="n">
        <f aca="false">$E$55</f>
        <v>0.793685635359262</v>
      </c>
    </row>
    <row r="62" customFormat="false" ht="15" hidden="false" customHeight="false" outlineLevel="0" collapsed="false">
      <c r="A62" s="9" t="s">
        <v>386</v>
      </c>
      <c r="D62" s="21" t="n">
        <f aca="false">$E$56</f>
        <v>0.965264444957674</v>
      </c>
    </row>
    <row r="63" customFormat="false" ht="15" hidden="false" customHeight="false" outlineLevel="0" collapsed="false">
      <c r="A63" s="9" t="s">
        <v>387</v>
      </c>
      <c r="D63" s="22" t="n">
        <f aca="false">SUMPRODUCT($D$54:$D$58,$D$54:$D$58)</f>
        <v>0.367882460474064</v>
      </c>
      <c r="F63" s="14" t="s">
        <v>388</v>
      </c>
    </row>
    <row r="64" customFormat="false" ht="15" hidden="false" customHeight="false" outlineLevel="0" collapsed="false">
      <c r="A64" s="9" t="s">
        <v>389</v>
      </c>
      <c r="D64" s="40" t="n">
        <f aca="false">COUNTIF($F$54:$F$58,"&lt;0")</f>
        <v>2</v>
      </c>
    </row>
    <row r="65" customFormat="false" ht="15" hidden="false" customHeight="false" outlineLevel="0" collapsed="false">
      <c r="A65" s="9" t="s">
        <v>390</v>
      </c>
      <c r="D65" s="40" t="n">
        <f aca="false">COUNTIF($C$54:$C$58,"&lt;0")</f>
        <v>1</v>
      </c>
    </row>
    <row r="66" customFormat="false" ht="15" hidden="false" customHeight="false" outlineLevel="0" collapsed="false">
      <c r="A66" s="9" t="s">
        <v>391</v>
      </c>
      <c r="D66" s="40" t="n">
        <f aca="false">COUNTIF($G$54:$G$58,"&lt;0")</f>
        <v>3</v>
      </c>
    </row>
    <row r="68" customFormat="false" ht="15" hidden="false" customHeight="false" outlineLevel="0" collapsed="false">
      <c r="A68" s="5" t="s">
        <v>392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customFormat="false" ht="15" hidden="false" customHeight="false" outlineLevel="0" collapsed="false">
      <c r="C69" s="23" t="s">
        <v>191</v>
      </c>
      <c r="D69" s="24" t="s">
        <v>192</v>
      </c>
      <c r="E69" s="37" t="n">
        <v>1</v>
      </c>
      <c r="F69" s="37" t="n">
        <v>2</v>
      </c>
      <c r="G69" s="37" t="n">
        <v>3</v>
      </c>
      <c r="H69" s="37" t="n">
        <v>4</v>
      </c>
      <c r="I69" s="37" t="n">
        <v>5</v>
      </c>
      <c r="J69" s="37" t="n">
        <v>6</v>
      </c>
      <c r="K69" s="37" t="n">
        <v>7</v>
      </c>
      <c r="L69" s="37" t="n">
        <v>8</v>
      </c>
      <c r="M69" s="37" t="n">
        <v>9</v>
      </c>
      <c r="N69" s="37" t="n">
        <v>10</v>
      </c>
      <c r="O69" s="37" t="n">
        <v>11</v>
      </c>
      <c r="P69" s="37" t="n">
        <v>12</v>
      </c>
      <c r="Q69" s="37" t="n">
        <v>13</v>
      </c>
      <c r="R69" s="37" t="n">
        <v>14</v>
      </c>
      <c r="S69" s="37" t="n">
        <v>15</v>
      </c>
      <c r="T69" s="37" t="n">
        <v>16</v>
      </c>
      <c r="U69" s="37" t="n">
        <v>17</v>
      </c>
      <c r="V69" s="37" t="n">
        <v>18</v>
      </c>
      <c r="W69" s="37" t="n">
        <v>19</v>
      </c>
      <c r="X69" s="37" t="n">
        <v>20</v>
      </c>
      <c r="Y69" s="37" t="n">
        <v>21</v>
      </c>
      <c r="Z69" s="37" t="n">
        <v>22</v>
      </c>
      <c r="AA69" s="37" t="n">
        <v>23</v>
      </c>
      <c r="AB69" s="37" t="n">
        <v>24</v>
      </c>
    </row>
    <row r="70" customFormat="false" ht="15" hidden="false" customHeight="false" outlineLevel="0" collapsed="false">
      <c r="C70" s="9" t="s">
        <v>197</v>
      </c>
      <c r="D70" s="27" t="n">
        <f aca="false">SUM(E70:AB70)</f>
        <v>15970795.3333333</v>
      </c>
      <c r="E70" s="40" t="n">
        <f aca="false">CHOOSE(Scenarios!$C$7,'Monthly Viewing Forecast'!E38,'Monthly Viewing Forecast'!E77,'Monthly Viewing Forecast'!E116)</f>
        <v>2060369.4902252</v>
      </c>
      <c r="F70" s="40" t="n">
        <f aca="false">CHOOSE(Scenarios!$C$7,'Monthly Viewing Forecast'!F38,'Monthly Viewing Forecast'!F77,'Monthly Viewing Forecast'!F116)</f>
        <v>1804591.97402312</v>
      </c>
      <c r="G70" s="40" t="n">
        <f aca="false">CHOOSE(Scenarios!$C$7,'Monthly Viewing Forecast'!G38,'Monthly Viewing Forecast'!G77,'Monthly Viewing Forecast'!G116)</f>
        <v>1580783.23803447</v>
      </c>
      <c r="H70" s="40" t="n">
        <f aca="false">CHOOSE(Scenarios!$C$7,'Monthly Viewing Forecast'!H38,'Monthly Viewing Forecast'!H77,'Monthly Viewing Forecast'!H116)</f>
        <v>1384918.58902315</v>
      </c>
      <c r="I70" s="40" t="n">
        <f aca="false">CHOOSE(Scenarios!$C$7,'Monthly Viewing Forecast'!I38,'Monthly Viewing Forecast'!I77,'Monthly Viewing Forecast'!I116)</f>
        <v>1213483.91177899</v>
      </c>
      <c r="J70" s="40" t="n">
        <f aca="false">CHOOSE(Scenarios!$C$7,'Monthly Viewing Forecast'!J38,'Monthly Viewing Forecast'!J77,'Monthly Viewing Forecast'!J116)</f>
        <v>1063410.37569698</v>
      </c>
      <c r="K70" s="40" t="n">
        <f aca="false">CHOOSE(Scenarios!$C$7,'Monthly Viewing Forecast'!K38,'Monthly Viewing Forecast'!K77,'Monthly Viewing Forecast'!K116)</f>
        <v>932017.560712617</v>
      </c>
      <c r="L70" s="40" t="n">
        <f aca="false">CHOOSE(Scenarios!$C$7,'Monthly Viewing Forecast'!L38,'Monthly Viewing Forecast'!L77,'Monthly Viewing Forecast'!L116)</f>
        <v>816963.907685438</v>
      </c>
      <c r="M70" s="40" t="n">
        <f aca="false">CHOOSE(Scenarios!$C$7,'Monthly Viewing Forecast'!M38,'Monthly Viewing Forecast'!M77,'Monthly Viewing Forecast'!M116)</f>
        <v>716203.541941544</v>
      </c>
      <c r="N70" s="40" t="n">
        <f aca="false">CHOOSE(Scenarios!$C$7,'Monthly Viewing Forecast'!N38,'Monthly Viewing Forecast'!N77,'Monthly Viewing Forecast'!N116)</f>
        <v>627948.643303616</v>
      </c>
      <c r="O70" s="40" t="n">
        <f aca="false">CHOOSE(Scenarios!$C$7,'Monthly Viewing Forecast'!O38,'Monthly Viewing Forecast'!O77,'Monthly Viewing Forecast'!O116)</f>
        <v>550636.644088535</v>
      </c>
      <c r="P70" s="40" t="n">
        <f aca="false">CHOOSE(Scenarios!$C$7,'Monthly Viewing Forecast'!P38,'Monthly Viewing Forecast'!P77,'Monthly Viewing Forecast'!P116)</f>
        <v>482901.630432959</v>
      </c>
      <c r="Q70" s="40" t="n">
        <f aca="false">CHOOSE(Scenarios!$C$7,'Monthly Viewing Forecast'!Q38,'Monthly Viewing Forecast'!Q77,'Monthly Viewing Forecast'!Q116)</f>
        <v>423549.403815192</v>
      </c>
      <c r="R70" s="40" t="n">
        <f aca="false">CHOOSE(Scenarios!$C$7,'Monthly Viewing Forecast'!R38,'Monthly Viewing Forecast'!R77,'Monthly Viewing Forecast'!R116)</f>
        <v>371535.730422048</v>
      </c>
      <c r="S70" s="40" t="n">
        <f aca="false">CHOOSE(Scenarios!$C$7,'Monthly Viewing Forecast'!S38,'Monthly Viewing Forecast'!S77,'Monthly Viewing Forecast'!S116)</f>
        <v>325947.367486159</v>
      </c>
      <c r="T70" s="40" t="n">
        <f aca="false">CHOOSE(Scenarios!$C$7,'Monthly Viewing Forecast'!T38,'Monthly Viewing Forecast'!T77,'Monthly Viewing Forecast'!T116)</f>
        <v>285985.50912575</v>
      </c>
      <c r="U70" s="40" t="n">
        <f aca="false">CHOOSE(Scenarios!$C$7,'Monthly Viewing Forecast'!U38,'Monthly Viewing Forecast'!U77,'Monthly Viewing Forecast'!U116)</f>
        <v>250951.340623817</v>
      </c>
      <c r="V70" s="40" t="n">
        <f aca="false">CHOOSE(Scenarios!$C$7,'Monthly Viewing Forecast'!V38,'Monthly Viewing Forecast'!V77,'Monthly Viewing Forecast'!V116)</f>
        <v>220233.430412708</v>
      </c>
      <c r="W70" s="40" t="n">
        <f aca="false">CHOOSE(Scenarios!$C$7,'Monthly Viewing Forecast'!W38,'Monthly Viewing Forecast'!W77,'Monthly Viewing Forecast'!W116)</f>
        <v>193296.724085731</v>
      </c>
      <c r="X70" s="40" t="n">
        <f aca="false">CHOOSE(Scenarios!$C$7,'Monthly Viewing Forecast'!X38,'Monthly Viewing Forecast'!X77,'Monthly Viewing Forecast'!X116)</f>
        <v>169672.935235073</v>
      </c>
      <c r="Y70" s="40" t="n">
        <f aca="false">CHOOSE(Scenarios!$C$7,'Monthly Viewing Forecast'!Y38,'Monthly Viewing Forecast'!Y77,'Monthly Viewing Forecast'!Y116)</f>
        <v>148952.15441797</v>
      </c>
      <c r="Z70" s="40" t="n">
        <f aca="false">CHOOSE(Scenarios!$C$7,'Monthly Viewing Forecast'!Z38,'Monthly Viewing Forecast'!Z77,'Monthly Viewing Forecast'!Z116)</f>
        <v>130775.52060371</v>
      </c>
      <c r="AA70" s="40" t="n">
        <f aca="false">CHOOSE(Scenarios!$C$7,'Monthly Viewing Forecast'!AA38,'Monthly Viewing Forecast'!AA77,'Monthly Viewing Forecast'!AA116)</f>
        <v>114828.819506049</v>
      </c>
      <c r="AB70" s="40" t="n">
        <f aca="false">CHOOSE(Scenarios!$C$7,'Monthly Viewing Forecast'!AB38,'Monthly Viewing Forecast'!AB77,'Monthly Viewing Forecast'!AB116)</f>
        <v>100836.890652519</v>
      </c>
    </row>
    <row r="71" customFormat="false" ht="15" hidden="false" customHeight="false" outlineLevel="0" collapsed="false">
      <c r="C71" s="9" t="s">
        <v>216</v>
      </c>
      <c r="D71" s="34" t="n">
        <f aca="false">SUM(E71:AB71)</f>
        <v>2112623.76075697</v>
      </c>
      <c r="E71" s="41" t="n">
        <f aca="false">CHOOSE(Scenarios!$C$7,'Title Economics'!E51,'Title Economics'!E104,'Title Economics'!E157)</f>
        <v>-162835.443306489</v>
      </c>
      <c r="F71" s="41" t="n">
        <f aca="false">CHOOSE(Scenarios!$C$7,'Title Economics'!F51,'Title Economics'!F104,'Title Economics'!F157)</f>
        <v>190059.59561839</v>
      </c>
      <c r="G71" s="41" t="n">
        <f aca="false">CHOOSE(Scenarios!$C$7,'Title Economics'!G51,'Title Economics'!G104,'Title Economics'!G157)</f>
        <v>219170.133951459</v>
      </c>
      <c r="H71" s="41" t="n">
        <f aca="false">CHOOSE(Scenarios!$C$7,'Title Economics'!H51,'Title Economics'!H104,'Title Economics'!H157)</f>
        <v>205822.70349942</v>
      </c>
      <c r="I71" s="41" t="n">
        <f aca="false">CHOOSE(Scenarios!$C$7,'Title Economics'!I51,'Title Economics'!I104,'Title Economics'!I157)</f>
        <v>217677.328061325</v>
      </c>
      <c r="J71" s="41" t="n">
        <f aca="false">CHOOSE(Scenarios!$C$7,'Title Economics'!J51,'Title Economics'!J104,'Title Economics'!J157)</f>
        <v>191217.104794986</v>
      </c>
      <c r="K71" s="41" t="n">
        <f aca="false">CHOOSE(Scenarios!$C$7,'Title Economics'!K51,'Title Economics'!K104,'Title Economics'!K157)</f>
        <v>167989.094779343</v>
      </c>
      <c r="L71" s="41" t="n">
        <f aca="false">CHOOSE(Scenarios!$C$7,'Title Economics'!L51,'Title Economics'!L104,'Title Economics'!L157)</f>
        <v>147596.357042484</v>
      </c>
      <c r="M71" s="41" t="n">
        <f aca="false">CHOOSE(Scenarios!$C$7,'Title Economics'!M51,'Title Economics'!M104,'Title Economics'!M157)</f>
        <v>129690.981467556</v>
      </c>
      <c r="N71" s="41" t="n">
        <f aca="false">CHOOSE(Scenarios!$C$7,'Title Economics'!N51,'Title Economics'!N104,'Title Economics'!N157)</f>
        <v>113967.994412418</v>
      </c>
      <c r="O71" s="41" t="n">
        <f aca="false">CHOOSE(Scenarios!$C$7,'Title Economics'!O51,'Title Economics'!O104,'Title Economics'!O157)</f>
        <v>100160.026936095</v>
      </c>
      <c r="P71" s="41" t="n">
        <f aca="false">CHOOSE(Scenarios!$C$7,'Title Economics'!P51,'Title Economics'!P104,'Title Economics'!P157)</f>
        <v>88032.6495224148</v>
      </c>
      <c r="Q71" s="41" t="n">
        <f aca="false">CHOOSE(Scenarios!$C$7,'Title Economics'!Q51,'Title Economics'!Q104,'Title Economics'!Q157)</f>
        <v>77380.2893950074</v>
      </c>
      <c r="R71" s="41" t="n">
        <f aca="false">CHOOSE(Scenarios!$C$7,'Title Economics'!R51,'Title Economics'!R104,'Title Economics'!R157)</f>
        <v>68022.6571598398</v>
      </c>
      <c r="S71" s="41" t="n">
        <f aca="false">CHOOSE(Scenarios!$C$7,'Title Economics'!S51,'Title Economics'!S104,'Title Economics'!S157)</f>
        <v>59801.6187931349</v>
      </c>
      <c r="T71" s="41" t="n">
        <f aca="false">CHOOSE(Scenarios!$C$7,'Title Economics'!T51,'Title Economics'!T104,'Title Economics'!T157)</f>
        <v>52578.4570891905</v>
      </c>
      <c r="U71" s="41" t="n">
        <f aca="false">CHOOSE(Scenarios!$C$7,'Title Economics'!U51,'Title Economics'!U104,'Title Economics'!U157)</f>
        <v>46231.4737467618</v>
      </c>
      <c r="V71" s="41" t="n">
        <f aca="false">CHOOSE(Scenarios!$C$7,'Title Economics'!V51,'Title Economics'!V104,'Title Economics'!V157)</f>
        <v>40653.8894370407</v>
      </c>
      <c r="W71" s="41" t="n">
        <f aca="false">CHOOSE(Scenarios!$C$7,'Title Economics'!W51,'Title Economics'!W104,'Title Economics'!W157)</f>
        <v>35752.004576375</v>
      </c>
      <c r="X71" s="41" t="n">
        <f aca="false">CHOOSE(Scenarios!$C$7,'Title Economics'!X51,'Title Economics'!X104,'Title Economics'!X157)</f>
        <v>31443.5882232857</v>
      </c>
      <c r="Y71" s="41" t="n">
        <f aca="false">CHOOSE(Scenarios!$C$7,'Title Economics'!Y51,'Title Economics'!Y104,'Title Economics'!Y157)</f>
        <v>27656.4666196279</v>
      </c>
      <c r="Z71" s="41" t="n">
        <f aca="false">CHOOSE(Scenarios!$C$7,'Title Economics'!Z51,'Title Economics'!Z104,'Title Economics'!Z157)</f>
        <v>24327.2864761686</v>
      </c>
      <c r="AA71" s="41" t="n">
        <f aca="false">CHOOSE(Scenarios!$C$7,'Title Economics'!AA51,'Title Economics'!AA104,'Title Economics'!AA157)</f>
        <v>21400.4312298345</v>
      </c>
      <c r="AB71" s="41" t="n">
        <f aca="false">CHOOSE(Scenarios!$C$7,'Title Economics'!AB51,'Title Economics'!AB104,'Title Economics'!AB157)</f>
        <v>18827.071231296</v>
      </c>
    </row>
    <row r="72" customFormat="false" ht="15" hidden="false" customHeight="false" outlineLevel="0" collapsed="false">
      <c r="C72" s="9" t="s">
        <v>393</v>
      </c>
      <c r="D72" s="34" t="n">
        <f aca="false">SUM(E72:AB72)</f>
        <v>1350000</v>
      </c>
      <c r="E72" s="41" t="n">
        <f aca="false">CHOOSE(Scenarios!$C$7,'Deal Structures'!E23,'Deal Structures'!E44,'Deal Structures'!E65)</f>
        <v>850000</v>
      </c>
      <c r="F72" s="41" t="n">
        <f aca="false">CHOOSE(Scenarios!$C$7,'Deal Structures'!F23,'Deal Structures'!F44,'Deal Structures'!F65)</f>
        <v>0</v>
      </c>
      <c r="G72" s="41" t="n">
        <f aca="false">CHOOSE(Scenarios!$C$7,'Deal Structures'!G23,'Deal Structures'!G44,'Deal Structures'!G65)</f>
        <v>0</v>
      </c>
      <c r="H72" s="41" t="n">
        <f aca="false">CHOOSE(Scenarios!$C$7,'Deal Structures'!H23,'Deal Structures'!H44,'Deal Structures'!H65)</f>
        <v>0</v>
      </c>
      <c r="I72" s="41" t="n">
        <f aca="false">CHOOSE(Scenarios!$C$7,'Deal Structures'!I23,'Deal Structures'!I44,'Deal Structures'!I65)</f>
        <v>0</v>
      </c>
      <c r="J72" s="41" t="n">
        <f aca="false">CHOOSE(Scenarios!$C$7,'Deal Structures'!J23,'Deal Structures'!J44,'Deal Structures'!J65)</f>
        <v>0</v>
      </c>
      <c r="K72" s="41" t="n">
        <f aca="false">CHOOSE(Scenarios!$C$7,'Deal Structures'!K23,'Deal Structures'!K44,'Deal Structures'!K65)</f>
        <v>0</v>
      </c>
      <c r="L72" s="41" t="n">
        <f aca="false">CHOOSE(Scenarios!$C$7,'Deal Structures'!L23,'Deal Structures'!L44,'Deal Structures'!L65)</f>
        <v>0</v>
      </c>
      <c r="M72" s="41" t="n">
        <f aca="false">CHOOSE(Scenarios!$C$7,'Deal Structures'!M23,'Deal Structures'!M44,'Deal Structures'!M65)</f>
        <v>0</v>
      </c>
      <c r="N72" s="41" t="n">
        <f aca="false">CHOOSE(Scenarios!$C$7,'Deal Structures'!N23,'Deal Structures'!N44,'Deal Structures'!N65)</f>
        <v>0</v>
      </c>
      <c r="O72" s="41" t="n">
        <f aca="false">CHOOSE(Scenarios!$C$7,'Deal Structures'!O23,'Deal Structures'!O44,'Deal Structures'!O65)</f>
        <v>0</v>
      </c>
      <c r="P72" s="41" t="n">
        <f aca="false">CHOOSE(Scenarios!$C$7,'Deal Structures'!P23,'Deal Structures'!P44,'Deal Structures'!P65)</f>
        <v>250000</v>
      </c>
      <c r="Q72" s="41" t="n">
        <f aca="false">CHOOSE(Scenarios!$C$7,'Deal Structures'!Q23,'Deal Structures'!Q44,'Deal Structures'!Q65)</f>
        <v>0</v>
      </c>
      <c r="R72" s="41" t="n">
        <f aca="false">CHOOSE(Scenarios!$C$7,'Deal Structures'!R23,'Deal Structures'!R44,'Deal Structures'!R65)</f>
        <v>0</v>
      </c>
      <c r="S72" s="41" t="n">
        <f aca="false">CHOOSE(Scenarios!$C$7,'Deal Structures'!S23,'Deal Structures'!S44,'Deal Structures'!S65)</f>
        <v>0</v>
      </c>
      <c r="T72" s="41" t="n">
        <f aca="false">CHOOSE(Scenarios!$C$7,'Deal Structures'!T23,'Deal Structures'!T44,'Deal Structures'!T65)</f>
        <v>0</v>
      </c>
      <c r="U72" s="41" t="n">
        <f aca="false">CHOOSE(Scenarios!$C$7,'Deal Structures'!U23,'Deal Structures'!U44,'Deal Structures'!U65)</f>
        <v>0</v>
      </c>
      <c r="V72" s="41" t="n">
        <f aca="false">CHOOSE(Scenarios!$C$7,'Deal Structures'!V23,'Deal Structures'!V44,'Deal Structures'!V65)</f>
        <v>250000</v>
      </c>
      <c r="W72" s="41" t="n">
        <f aca="false">CHOOSE(Scenarios!$C$7,'Deal Structures'!W23,'Deal Structures'!W44,'Deal Structures'!W65)</f>
        <v>0</v>
      </c>
      <c r="X72" s="41" t="n">
        <f aca="false">CHOOSE(Scenarios!$C$7,'Deal Structures'!X23,'Deal Structures'!X44,'Deal Structures'!X65)</f>
        <v>0</v>
      </c>
      <c r="Y72" s="41" t="n">
        <f aca="false">CHOOSE(Scenarios!$C$7,'Deal Structures'!Y23,'Deal Structures'!Y44,'Deal Structures'!Y65)</f>
        <v>0</v>
      </c>
      <c r="Z72" s="41" t="n">
        <f aca="false">CHOOSE(Scenarios!$C$7,'Deal Structures'!Z23,'Deal Structures'!Z44,'Deal Structures'!Z65)</f>
        <v>0</v>
      </c>
      <c r="AA72" s="41" t="n">
        <f aca="false">CHOOSE(Scenarios!$C$7,'Deal Structures'!AA23,'Deal Structures'!AA44,'Deal Structures'!AA65)</f>
        <v>0</v>
      </c>
      <c r="AB72" s="41" t="n">
        <f aca="false">CHOOSE(Scenarios!$C$7,'Deal Structures'!AB23,'Deal Structures'!AB44,'Deal Structures'!AB65)</f>
        <v>0</v>
      </c>
    </row>
    <row r="73" customFormat="false" ht="15" hidden="false" customHeight="false" outlineLevel="0" collapsed="false">
      <c r="C73" s="8" t="s">
        <v>252</v>
      </c>
      <c r="D73" s="34" t="n">
        <f aca="false">SUM(E73:AB73)</f>
        <v>762623.760756967</v>
      </c>
      <c r="E73" s="41" t="n">
        <f aca="false">E71-E72</f>
        <v>-1012835.44330649</v>
      </c>
      <c r="F73" s="41" t="n">
        <f aca="false">F71-F72</f>
        <v>190059.59561839</v>
      </c>
      <c r="G73" s="41" t="n">
        <f aca="false">G71-G72</f>
        <v>219170.133951459</v>
      </c>
      <c r="H73" s="41" t="n">
        <f aca="false">H71-H72</f>
        <v>205822.70349942</v>
      </c>
      <c r="I73" s="41" t="n">
        <f aca="false">I71-I72</f>
        <v>217677.328061325</v>
      </c>
      <c r="J73" s="41" t="n">
        <f aca="false">J71-J72</f>
        <v>191217.104794986</v>
      </c>
      <c r="K73" s="41" t="n">
        <f aca="false">K71-K72</f>
        <v>167989.094779343</v>
      </c>
      <c r="L73" s="41" t="n">
        <f aca="false">L71-L72</f>
        <v>147596.357042484</v>
      </c>
      <c r="M73" s="41" t="n">
        <f aca="false">M71-M72</f>
        <v>129690.981467556</v>
      </c>
      <c r="N73" s="41" t="n">
        <f aca="false">N71-N72</f>
        <v>113967.994412418</v>
      </c>
      <c r="O73" s="41" t="n">
        <f aca="false">O71-O72</f>
        <v>100160.026936095</v>
      </c>
      <c r="P73" s="41" t="n">
        <f aca="false">P71-P72</f>
        <v>-161967.350477585</v>
      </c>
      <c r="Q73" s="41" t="n">
        <f aca="false">Q71-Q72</f>
        <v>77380.2893950074</v>
      </c>
      <c r="R73" s="41" t="n">
        <f aca="false">R71-R72</f>
        <v>68022.6571598398</v>
      </c>
      <c r="S73" s="41" t="n">
        <f aca="false">S71-S72</f>
        <v>59801.6187931349</v>
      </c>
      <c r="T73" s="41" t="n">
        <f aca="false">T71-T72</f>
        <v>52578.4570891905</v>
      </c>
      <c r="U73" s="41" t="n">
        <f aca="false">U71-U72</f>
        <v>46231.4737467618</v>
      </c>
      <c r="V73" s="41" t="n">
        <f aca="false">V71-V72</f>
        <v>-209346.110562959</v>
      </c>
      <c r="W73" s="41" t="n">
        <f aca="false">W71-W72</f>
        <v>35752.004576375</v>
      </c>
      <c r="X73" s="41" t="n">
        <f aca="false">X71-X72</f>
        <v>31443.5882232857</v>
      </c>
      <c r="Y73" s="41" t="n">
        <f aca="false">Y71-Y72</f>
        <v>27656.4666196279</v>
      </c>
      <c r="Z73" s="41" t="n">
        <f aca="false">Z71-Z72</f>
        <v>24327.2864761686</v>
      </c>
      <c r="AA73" s="41" t="n">
        <f aca="false">AA71-AA72</f>
        <v>21400.4312298345</v>
      </c>
      <c r="AB73" s="41" t="n">
        <f aca="false">AB71-AB72</f>
        <v>18827.071231296</v>
      </c>
    </row>
    <row r="74" customFormat="false" ht="15" hidden="false" customHeight="false" outlineLevel="0" collapsed="false">
      <c r="C74" s="8" t="s">
        <v>253</v>
      </c>
      <c r="D74" s="34" t="n">
        <f aca="false">AB74</f>
        <v>762623.760756967</v>
      </c>
      <c r="E74" s="41" t="n">
        <f aca="false">SUM($E$73:E73)</f>
        <v>-1012835.44330649</v>
      </c>
      <c r="F74" s="41" t="n">
        <f aca="false">SUM($E$73:F73)</f>
        <v>-822775.847688098</v>
      </c>
      <c r="G74" s="41" t="n">
        <f aca="false">SUM($E$73:G73)</f>
        <v>-603605.713736639</v>
      </c>
      <c r="H74" s="41" t="n">
        <f aca="false">SUM($E$73:H73)</f>
        <v>-397783.010237219</v>
      </c>
      <c r="I74" s="41" t="n">
        <f aca="false">SUM($E$73:I73)</f>
        <v>-180105.682175894</v>
      </c>
      <c r="J74" s="41" t="n">
        <f aca="false">SUM($E$73:J73)</f>
        <v>11111.4226190918</v>
      </c>
      <c r="K74" s="41" t="n">
        <f aca="false">SUM($E$73:K73)</f>
        <v>179100.517398435</v>
      </c>
      <c r="L74" s="41" t="n">
        <f aca="false">SUM($E$73:L73)</f>
        <v>326696.874440919</v>
      </c>
      <c r="M74" s="41" t="n">
        <f aca="false">SUM($E$73:M73)</f>
        <v>456387.855908476</v>
      </c>
      <c r="N74" s="41" t="n">
        <f aca="false">SUM($E$73:N73)</f>
        <v>570355.850320894</v>
      </c>
      <c r="O74" s="41" t="n">
        <f aca="false">SUM($E$73:O73)</f>
        <v>670515.877256989</v>
      </c>
      <c r="P74" s="41" t="n">
        <f aca="false">SUM($E$73:P73)</f>
        <v>508548.526779404</v>
      </c>
      <c r="Q74" s="41" t="n">
        <f aca="false">SUM($E$73:Q73)</f>
        <v>585928.816174412</v>
      </c>
      <c r="R74" s="41" t="n">
        <f aca="false">SUM($E$73:R73)</f>
        <v>653951.473334251</v>
      </c>
      <c r="S74" s="41" t="n">
        <f aca="false">SUM($E$73:S73)</f>
        <v>713753.092127386</v>
      </c>
      <c r="T74" s="41" t="n">
        <f aca="false">SUM($E$73:T73)</f>
        <v>766331.549216577</v>
      </c>
      <c r="U74" s="41" t="n">
        <f aca="false">SUM($E$73:U73)</f>
        <v>812563.022963339</v>
      </c>
      <c r="V74" s="41" t="n">
        <f aca="false">SUM($E$73:V73)</f>
        <v>603216.912400379</v>
      </c>
      <c r="W74" s="41" t="n">
        <f aca="false">SUM($E$73:W73)</f>
        <v>638968.916976754</v>
      </c>
      <c r="X74" s="41" t="n">
        <f aca="false">SUM($E$73:X73)</f>
        <v>670412.50520004</v>
      </c>
      <c r="Y74" s="41" t="n">
        <f aca="false">SUM($E$73:Y73)</f>
        <v>698068.971819668</v>
      </c>
      <c r="Z74" s="41" t="n">
        <f aca="false">SUM($E$73:Z73)</f>
        <v>722396.258295836</v>
      </c>
      <c r="AA74" s="41" t="n">
        <f aca="false">SUM($E$73:AA73)</f>
        <v>743796.689525671</v>
      </c>
      <c r="AB74" s="41" t="n">
        <f aca="false">SUM($E$73:AB73)</f>
        <v>762623.760756967</v>
      </c>
    </row>
    <row r="75" customFormat="false" ht="15" hidden="false" customHeight="false" outlineLevel="0" collapsed="false">
      <c r="C75" s="9" t="s">
        <v>254</v>
      </c>
      <c r="D75" s="27" t="n">
        <f aca="false">IFERROR(MATCH(1,E75:AB75,0),"n/a")</f>
        <v>6</v>
      </c>
      <c r="E75" s="40" t="n">
        <f aca="false">IF(MIN(E74:$AB$74)&gt;0,1,0)</f>
        <v>0</v>
      </c>
      <c r="F75" s="40" t="n">
        <f aca="false">IF(MIN(F74:$AB$74)&gt;0,1,0)</f>
        <v>0</v>
      </c>
      <c r="G75" s="40" t="n">
        <f aca="false">IF(MIN(G74:$AB$74)&gt;0,1,0)</f>
        <v>0</v>
      </c>
      <c r="H75" s="40" t="n">
        <f aca="false">IF(MIN(H74:$AB$74)&gt;0,1,0)</f>
        <v>0</v>
      </c>
      <c r="I75" s="40" t="n">
        <f aca="false">IF(MIN(I74:$AB$74)&gt;0,1,0)</f>
        <v>0</v>
      </c>
      <c r="J75" s="40" t="n">
        <f aca="false">IF(MIN(J74:$AB$74)&gt;0,1,0)</f>
        <v>1</v>
      </c>
      <c r="K75" s="40" t="n">
        <f aca="false">IF(MIN(K74:$AB$74)&gt;0,1,0)</f>
        <v>1</v>
      </c>
      <c r="L75" s="40" t="n">
        <f aca="false">IF(MIN(L74:$AB$74)&gt;0,1,0)</f>
        <v>1</v>
      </c>
      <c r="M75" s="40" t="n">
        <f aca="false">IF(MIN(M74:$AB$74)&gt;0,1,0)</f>
        <v>1</v>
      </c>
      <c r="N75" s="40" t="n">
        <f aca="false">IF(MIN(N74:$AB$74)&gt;0,1,0)</f>
        <v>1</v>
      </c>
      <c r="O75" s="40" t="n">
        <f aca="false">IF(MIN(O74:$AB$74)&gt;0,1,0)</f>
        <v>1</v>
      </c>
      <c r="P75" s="40" t="n">
        <f aca="false">IF(MIN(P74:$AB$74)&gt;0,1,0)</f>
        <v>1</v>
      </c>
      <c r="Q75" s="40" t="n">
        <f aca="false">IF(MIN(Q74:$AB$74)&gt;0,1,0)</f>
        <v>1</v>
      </c>
      <c r="R75" s="40" t="n">
        <f aca="false">IF(MIN(R74:$AB$74)&gt;0,1,0)</f>
        <v>1</v>
      </c>
      <c r="S75" s="40" t="n">
        <f aca="false">IF(MIN(S74:$AB$74)&gt;0,1,0)</f>
        <v>1</v>
      </c>
      <c r="T75" s="40" t="n">
        <f aca="false">IF(MIN(T74:$AB$74)&gt;0,1,0)</f>
        <v>1</v>
      </c>
      <c r="U75" s="40" t="n">
        <f aca="false">IF(MIN(U74:$AB$74)&gt;0,1,0)</f>
        <v>1</v>
      </c>
      <c r="V75" s="40" t="n">
        <f aca="false">IF(MIN(V74:$AB$74)&gt;0,1,0)</f>
        <v>1</v>
      </c>
      <c r="W75" s="40" t="n">
        <f aca="false">IF(MIN(W74:$AB$74)&gt;0,1,0)</f>
        <v>1</v>
      </c>
      <c r="X75" s="40" t="n">
        <f aca="false">IF(MIN(X74:$AB$74)&gt;0,1,0)</f>
        <v>1</v>
      </c>
      <c r="Y75" s="40" t="n">
        <f aca="false">IF(MIN(Y74:$AB$74)&gt;0,1,0)</f>
        <v>1</v>
      </c>
      <c r="Z75" s="40" t="n">
        <f aca="false">IF(MIN(Z74:$AB$74)&gt;0,1,0)</f>
        <v>1</v>
      </c>
      <c r="AA75" s="40" t="n">
        <f aca="false">IF(MIN(AA74:$AB$74)&gt;0,1,0)</f>
        <v>1</v>
      </c>
      <c r="AB75" s="40" t="n">
        <f aca="false">IF(MIN(AB74:$AB$74)&gt;0,1,0)</f>
        <v>1</v>
      </c>
    </row>
    <row r="77" customFormat="false" ht="15" hidden="false" customHeight="false" outlineLevel="0" collapsed="false">
      <c r="A77" s="14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"/>
    <col collapsed="false" customWidth="true" hidden="false" outlineLevel="0" max="3" min="3" style="0" width="20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395</v>
      </c>
    </row>
    <row r="3" customFormat="false" ht="15" hidden="false" customHeight="false" outlineLevel="0" collapsed="false">
      <c r="A3" s="14" t="s">
        <v>3</v>
      </c>
    </row>
    <row r="5" customFormat="false" ht="15" hidden="false" customHeight="false" outlineLevel="0" collapsed="false">
      <c r="A5" s="8" t="s">
        <v>396</v>
      </c>
      <c r="C5" s="65" t="str">
        <f aca="false">IF(AND(Scenarios!$D$74&lt;0,Scenarios!$D$76&gt;0),"Acquire only if repriced or restructured",IF(Scenarios!$D$74&gt;=0,"Acquire at the ask","Decline"))</f>
        <v>Acquire only if repriced or restructured</v>
      </c>
    </row>
    <row r="7" customFormat="false" ht="15" hidden="false" customHeight="false" outlineLevel="0" collapsed="false">
      <c r="A7" s="5" t="s">
        <v>397</v>
      </c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9" t="s">
        <v>66</v>
      </c>
      <c r="C8" s="58" t="n">
        <f aca="false">Scenarios!$C$62</f>
        <v>2500000</v>
      </c>
    </row>
    <row r="9" customFormat="false" ht="15" hidden="false" customHeight="false" outlineLevel="0" collapsed="false">
      <c r="A9" s="9" t="s">
        <v>398</v>
      </c>
      <c r="C9" s="58" t="n">
        <f aca="false">Scenarios!$D$59</f>
        <v>2013839.36630038</v>
      </c>
      <c r="E9" s="14" t="s">
        <v>399</v>
      </c>
    </row>
    <row r="10" customFormat="false" ht="15" hidden="false" customHeight="false" outlineLevel="0" collapsed="false">
      <c r="A10" s="8" t="s">
        <v>335</v>
      </c>
      <c r="C10" s="46" t="n">
        <f aca="false">Scenarios!$C$67</f>
        <v>1318694.65715387</v>
      </c>
    </row>
    <row r="11" customFormat="false" ht="15" hidden="false" customHeight="false" outlineLevel="0" collapsed="false">
      <c r="A11" s="8" t="s">
        <v>400</v>
      </c>
      <c r="C11" s="46" t="n">
        <f aca="false">Scenarios!$C$66</f>
        <v>1498516.65585667</v>
      </c>
    </row>
    <row r="12" customFormat="false" ht="15" hidden="false" customHeight="false" outlineLevel="0" collapsed="false">
      <c r="A12" s="8" t="s">
        <v>401</v>
      </c>
      <c r="C12" s="46" t="n">
        <f aca="false">Scenarios!$C$63</f>
        <v>2013839.36630038</v>
      </c>
    </row>
    <row r="13" customFormat="false" ht="15" hidden="false" customHeight="false" outlineLevel="0" collapsed="false">
      <c r="A13" s="9" t="s">
        <v>402</v>
      </c>
      <c r="C13" s="66" t="n">
        <f aca="false">Scenarios!$C$68</f>
        <v>0.241409837266588</v>
      </c>
    </row>
    <row r="14" customFormat="false" ht="15" hidden="false" customHeight="false" outlineLevel="0" collapsed="false">
      <c r="A14" s="9" t="s">
        <v>338</v>
      </c>
      <c r="C14" s="66" t="n">
        <f aca="false">Scenarios!$C$69</f>
        <v>0.173826190943153</v>
      </c>
    </row>
    <row r="16" customFormat="false" ht="15" hidden="false" customHeight="false" outlineLevel="0" collapsed="false">
      <c r="A16" s="5" t="s">
        <v>403</v>
      </c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9" t="s">
        <v>404</v>
      </c>
      <c r="C17" s="66" t="n">
        <f aca="false">Scenarios!$D$77</f>
        <v>0.2</v>
      </c>
    </row>
    <row r="18" customFormat="false" ht="15" hidden="false" customHeight="false" outlineLevel="0" collapsed="false">
      <c r="A18" s="9" t="s">
        <v>405</v>
      </c>
      <c r="C18" s="58" t="n">
        <f aca="false">Scenarios!$D$76</f>
        <v>496418.043055488</v>
      </c>
    </row>
    <row r="19" customFormat="false" ht="15" hidden="false" customHeight="false" outlineLevel="0" collapsed="false">
      <c r="A19" s="9" t="s">
        <v>406</v>
      </c>
      <c r="C19" s="58" t="n">
        <f aca="false">Scenarios!$C$76</f>
        <v>15172.8120827789</v>
      </c>
    </row>
    <row r="20" customFormat="false" ht="15" hidden="false" customHeight="false" outlineLevel="0" collapsed="false">
      <c r="A20" s="9" t="s">
        <v>407</v>
      </c>
      <c r="C20" s="58" t="n">
        <f aca="false">Scenarios!$E$76</f>
        <v>1101352.88396583</v>
      </c>
    </row>
    <row r="21" customFormat="false" ht="15" hidden="false" customHeight="false" outlineLevel="0" collapsed="false">
      <c r="A21" s="9" t="s">
        <v>408</v>
      </c>
      <c r="C21" s="58" t="n">
        <f aca="false">Scenarios!$C$74</f>
        <v>-949571.011111493</v>
      </c>
    </row>
    <row r="22" customFormat="false" ht="15" hidden="false" customHeight="false" outlineLevel="0" collapsed="false">
      <c r="A22" s="9" t="s">
        <v>409</v>
      </c>
      <c r="C22" s="58" t="n">
        <f aca="false">Scenarios!$D$74</f>
        <v>-468325.780138784</v>
      </c>
    </row>
    <row r="23" customFormat="false" ht="15" hidden="false" customHeight="false" outlineLevel="0" collapsed="false">
      <c r="A23" s="9" t="s">
        <v>410</v>
      </c>
      <c r="C23" s="58" t="n">
        <f aca="false">Scenarios!$E$74</f>
        <v>136609.060771555</v>
      </c>
    </row>
    <row r="25" customFormat="false" ht="15" hidden="false" customHeight="false" outlineLevel="0" collapsed="false">
      <c r="A25" s="5" t="s">
        <v>411</v>
      </c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8" t="s">
        <v>412</v>
      </c>
      <c r="C26" s="67" t="str">
        <f aca="false">INDEX('Deal Structures'!$C$72:$E$72,MATCH(MAX('Deal Structures'!$C$78:$E$78),'Deal Structures'!$C$78:$E$78,0))</f>
        <v>C - Performance fee with earn-outs</v>
      </c>
      <c r="E26" s="14" t="s">
        <v>413</v>
      </c>
    </row>
    <row r="27" customFormat="false" ht="15" hidden="false" customHeight="false" outlineLevel="0" collapsed="false">
      <c r="A27" s="9" t="s">
        <v>414</v>
      </c>
      <c r="C27" s="58" t="n">
        <f aca="false">'Deal Structures'!$E$73</f>
        <v>1350000</v>
      </c>
    </row>
    <row r="28" customFormat="false" ht="15" hidden="false" customHeight="false" outlineLevel="0" collapsed="false">
      <c r="A28" s="9" t="s">
        <v>415</v>
      </c>
      <c r="C28" s="58" t="n">
        <f aca="false">'Deal Structures'!$E$75</f>
        <v>663819.160438985</v>
      </c>
    </row>
    <row r="29" customFormat="false" ht="15" hidden="false" customHeight="false" outlineLevel="0" collapsed="false">
      <c r="A29" s="9" t="s">
        <v>416</v>
      </c>
      <c r="C29" s="58" t="n">
        <f aca="false">'Deal Structures'!$E$78</f>
        <v>616705.889850889</v>
      </c>
    </row>
    <row r="30" customFormat="false" ht="15" hidden="false" customHeight="false" outlineLevel="0" collapsed="false">
      <c r="A30" s="9" t="s">
        <v>417</v>
      </c>
      <c r="C30" s="58" t="n">
        <f aca="false">'Deal Structures'!$E$79</f>
        <v>1029595.83808402</v>
      </c>
    </row>
    <row r="31" customFormat="false" ht="15" hidden="false" customHeight="false" outlineLevel="0" collapsed="false">
      <c r="A31" s="9" t="s">
        <v>418</v>
      </c>
      <c r="C31" s="57" t="n">
        <f aca="false">'Deal Structures'!$E$82</f>
        <v>6</v>
      </c>
    </row>
    <row r="33" customFormat="false" ht="15" hidden="false" customHeight="false" outlineLevel="0" collapsed="false">
      <c r="A33" s="5" t="s">
        <v>419</v>
      </c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9" t="s">
        <v>234</v>
      </c>
      <c r="C34" s="57" t="n">
        <f aca="false">'Title Economics'!$H$170</f>
        <v>11650000</v>
      </c>
    </row>
    <row r="35" customFormat="false" ht="15" hidden="false" customHeight="false" outlineLevel="0" collapsed="false">
      <c r="A35" s="9" t="s">
        <v>197</v>
      </c>
      <c r="C35" s="57" t="n">
        <f aca="false">'Title Economics'!$H$171</f>
        <v>15970795.3333333</v>
      </c>
    </row>
    <row r="36" customFormat="false" ht="15" hidden="false" customHeight="false" outlineLevel="0" collapsed="false">
      <c r="A36" s="9" t="s">
        <v>198</v>
      </c>
      <c r="C36" s="57" t="n">
        <f aca="false">'Title Economics'!$H$172</f>
        <v>202236407.44</v>
      </c>
    </row>
    <row r="37" customFormat="false" ht="15" hidden="false" customHeight="false" outlineLevel="0" collapsed="false">
      <c r="A37" s="9" t="s">
        <v>199</v>
      </c>
      <c r="C37" s="58" t="n">
        <f aca="false">'Title Economics'!$H$173</f>
        <v>4828224.849035</v>
      </c>
    </row>
    <row r="38" customFormat="false" ht="15" hidden="false" customHeight="false" outlineLevel="0" collapsed="false">
      <c r="A38" s="9" t="s">
        <v>213</v>
      </c>
      <c r="C38" s="58" t="n">
        <f aca="false">'Title Economics'!$H$174</f>
        <v>2773098.2932403</v>
      </c>
    </row>
    <row r="39" customFormat="false" ht="15" hidden="false" customHeight="false" outlineLevel="0" collapsed="false">
      <c r="A39" s="9" t="s">
        <v>214</v>
      </c>
      <c r="C39" s="58" t="n">
        <f aca="false">'Title Economics'!$H$175</f>
        <v>407970.57885</v>
      </c>
    </row>
    <row r="40" customFormat="false" ht="15" hidden="false" customHeight="false" outlineLevel="0" collapsed="false">
      <c r="A40" s="9" t="s">
        <v>420</v>
      </c>
      <c r="C40" s="58" t="n">
        <f aca="false">'Title Economics'!$H$176</f>
        <v>1068445.11133333</v>
      </c>
    </row>
    <row r="41" customFormat="false" ht="15" hidden="false" customHeight="false" outlineLevel="0" collapsed="false">
      <c r="A41" s="8" t="s">
        <v>216</v>
      </c>
      <c r="C41" s="46" t="n">
        <f aca="false">'Title Economics'!$H$177</f>
        <v>2112623.76075697</v>
      </c>
    </row>
    <row r="43" customFormat="false" ht="15" hidden="false" customHeight="false" outlineLevel="0" collapsed="false">
      <c r="A43" s="5" t="s">
        <v>421</v>
      </c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9" t="s">
        <v>422</v>
      </c>
      <c r="C44" s="66" t="n">
        <f aca="false">Sensitivities!$D$61</f>
        <v>0.793685635359262</v>
      </c>
    </row>
    <row r="45" customFormat="false" ht="15" hidden="false" customHeight="false" outlineLevel="0" collapsed="false">
      <c r="A45" s="9" t="s">
        <v>423</v>
      </c>
      <c r="C45" s="57" t="n">
        <f aca="false">Sensitivities!$D$64</f>
        <v>2</v>
      </c>
    </row>
    <row r="46" customFormat="false" ht="15" hidden="false" customHeight="false" outlineLevel="0" collapsed="false">
      <c r="A46" s="9" t="s">
        <v>424</v>
      </c>
      <c r="C46" s="57" t="n">
        <f aca="false">Sensitivities!$D$66</f>
        <v>3</v>
      </c>
    </row>
    <row r="47" customFormat="false" ht="15" hidden="false" customHeight="false" outlineLevel="0" collapsed="false">
      <c r="A47" s="9" t="s">
        <v>365</v>
      </c>
      <c r="C47" s="57" t="n">
        <f aca="false">Sensitivities!$D$42</f>
        <v>13028127.4405275</v>
      </c>
    </row>
    <row r="48" customFormat="false" ht="15" hidden="false" customHeight="false" outlineLevel="0" collapsed="false">
      <c r="A48" s="9" t="s">
        <v>368</v>
      </c>
      <c r="C48" s="66" t="n">
        <f aca="false">Sensitivities!$D$44</f>
        <v>0.184253058873287</v>
      </c>
    </row>
    <row r="49" customFormat="false" ht="15" hidden="false" customHeight="false" outlineLevel="0" collapsed="false">
      <c r="A49" s="9" t="s">
        <v>371</v>
      </c>
      <c r="C49" s="60" t="n">
        <f aca="false">Sensitivities!$D$46</f>
        <v>19.3095726677149</v>
      </c>
    </row>
    <row r="51" customFormat="false" ht="15" hidden="false" customHeight="false" outlineLevel="0" collapsed="false">
      <c r="A51" s="14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76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2" t="s">
        <v>0</v>
      </c>
    </row>
    <row r="2" customFormat="false" ht="15" hidden="false" customHeight="false" outlineLevel="0" collapsed="false">
      <c r="A2" s="13" t="s">
        <v>425</v>
      </c>
    </row>
    <row r="3" customFormat="false" ht="15" hidden="false" customHeight="false" outlineLevel="0" collapsed="false">
      <c r="A3" s="14" t="s">
        <v>3</v>
      </c>
    </row>
    <row r="5" customFormat="false" ht="15" hidden="false" customHeight="false" outlineLevel="0" collapsed="false">
      <c r="A5" s="8" t="s">
        <v>426</v>
      </c>
      <c r="C5" s="65" t="str">
        <f aca="false">IF(COUNTIF($F$8:$F$21,"FAIL")=0,"ALL CONTROLS PASS","CONTROL FAILURE - DO NOT RELY ON OUTPUTS")</f>
        <v>ALL CONTROLS PASS</v>
      </c>
      <c r="F5" s="14" t="str">
        <f aca="false">COUNTIF($F$8:$F$21,"PASS")&amp;" of "&amp;COUNTA($F$8:$F$21)&amp;" controls pass"</f>
        <v>14 of 14 controls pass</v>
      </c>
    </row>
    <row r="7" customFormat="false" ht="15" hidden="false" customHeight="false" outlineLevel="0" collapsed="false">
      <c r="A7" s="24" t="s">
        <v>427</v>
      </c>
      <c r="B7" s="23" t="s">
        <v>428</v>
      </c>
      <c r="C7" s="23" t="s">
        <v>429</v>
      </c>
      <c r="D7" s="24" t="s">
        <v>430</v>
      </c>
      <c r="E7" s="24" t="s">
        <v>431</v>
      </c>
      <c r="F7" s="24" t="s">
        <v>432</v>
      </c>
    </row>
    <row r="8" customFormat="false" ht="30" hidden="false" customHeight="true" outlineLevel="0" collapsed="false">
      <c r="A8" s="63" t="n">
        <v>1</v>
      </c>
      <c r="B8" s="8" t="s">
        <v>433</v>
      </c>
      <c r="C8" s="7" t="s">
        <v>434</v>
      </c>
      <c r="D8" s="22" t="n">
        <f aca="false">MAX(ABS(SUM('Title Inputs'!$C$35:$G$35)-1)*Scenarios!$C$66,ABS(SUM('Title Economics'!$C$180:$G$180)-Scenarios!$C$66))</f>
        <v>0</v>
      </c>
      <c r="E8" s="68" t="n">
        <v>1</v>
      </c>
      <c r="F8" s="69" t="str">
        <f aca="false">IF($D8&lt;=$E8,"PASS","FAIL")</f>
        <v>PASS</v>
      </c>
    </row>
    <row r="9" customFormat="false" ht="30" hidden="false" customHeight="true" outlineLevel="0" collapsed="false">
      <c r="A9" s="63" t="n">
        <v>2</v>
      </c>
      <c r="B9" s="8" t="s">
        <v>435</v>
      </c>
      <c r="C9" s="7" t="s">
        <v>436</v>
      </c>
      <c r="D9" s="22" t="n">
        <f aca="false">MAX(ABS(('Monthly Viewing Forecast'!$D$46)-('Title Inputs'!$C$15)),ABS(('Monthly Viewing Forecast'!$D$52)-('Title Inputs'!$D$15)),ABS(('Monthly Viewing Forecast'!$D$58)-('Title Inputs'!$E$15)),ABS(('Monthly Viewing Forecast'!$D$64)-('Title Inputs'!$F$15)),ABS(('Monthly Viewing Forecast'!$D$70)-('Title Inputs'!$G$15)))</f>
        <v>0</v>
      </c>
      <c r="E9" s="68" t="n">
        <v>1</v>
      </c>
      <c r="F9" s="69" t="str">
        <f aca="false">IF($D9&lt;=$E9,"PASS","FAIL")</f>
        <v>PASS</v>
      </c>
    </row>
    <row r="10" customFormat="false" ht="30" hidden="false" customHeight="true" outlineLevel="0" collapsed="false">
      <c r="A10" s="63" t="n">
        <v>3</v>
      </c>
      <c r="B10" s="8" t="s">
        <v>437</v>
      </c>
      <c r="C10" s="7" t="s">
        <v>438</v>
      </c>
      <c r="D10" s="22" t="n">
        <f aca="false">MAX(ABS(('Monthly Viewing Forecast'!$D$38)-('Monthly Viewing Forecast'!$D$9+'Monthly Viewing Forecast'!$D$15+'Monthly Viewing Forecast'!$D$21+'Monthly Viewing Forecast'!$D$27+'Monthly Viewing Forecast'!$D$33)),ABS(('Monthly Viewing Forecast'!$D$77)-('Monthly Viewing Forecast'!$D$48+'Monthly Viewing Forecast'!$D$54+'Monthly Viewing Forecast'!$D$60+'Monthly Viewing Forecast'!$D$66+'Monthly Viewing Forecast'!$D$72)),ABS(('Monthly Viewing Forecast'!$D$116)-('Monthly Viewing Forecast'!$D$87+'Monthly Viewing Forecast'!$D$93+'Monthly Viewing Forecast'!$D$99+'Monthly Viewing Forecast'!$D$105+'Monthly Viewing Forecast'!$D$111)))</f>
        <v>0</v>
      </c>
      <c r="E10" s="68" t="n">
        <v>1</v>
      </c>
      <c r="F10" s="69" t="str">
        <f aca="false">IF($D10&lt;=$E10,"PASS","FAIL")</f>
        <v>PASS</v>
      </c>
    </row>
    <row r="11" customFormat="false" ht="30" hidden="false" customHeight="true" outlineLevel="0" collapsed="false">
      <c r="A11" s="63" t="n">
        <v>4</v>
      </c>
      <c r="B11" s="8" t="s">
        <v>439</v>
      </c>
      <c r="C11" s="7" t="s">
        <v>440</v>
      </c>
      <c r="D11" s="22" t="n">
        <f aca="false">MAX(ABS(('Monthly Viewing Forecast'!$D$10)-('Monthly Viewing Forecast'!$D$9*'Title Inputs'!$C$24*Scenarios!$C$25)),ABS(('Monthly Viewing Forecast'!$D$16)-('Monthly Viewing Forecast'!$D$15*'Title Inputs'!$D$24*Scenarios!$D$25)),ABS(('Monthly Viewing Forecast'!$D$22)-('Monthly Viewing Forecast'!$D$21*'Title Inputs'!$E$24*Scenarios!$E$25)),ABS(('Monthly Viewing Forecast'!$D$28)-('Monthly Viewing Forecast'!$D$27*'Title Inputs'!$F$24*Scenarios!$F$25)),ABS(('Monthly Viewing Forecast'!$D$34)-('Monthly Viewing Forecast'!$D$33*'Title Inputs'!$G$24*Scenarios!$G$25)),ABS(('Monthly Viewing Forecast'!$D$49)-('Monthly Viewing Forecast'!$D$48*'Title Inputs'!$C$24*Scenarios!$C$34)),ABS(('Monthly Viewing Forecast'!$D$55)-('Monthly Viewing Forecast'!$D$54*'Title Inputs'!$D$24*Scenarios!$D$34)),ABS(('Monthly Viewing Forecast'!$D$61)-('Monthly Viewing Forecast'!$D$60*'Title Inputs'!$E$24*Scenarios!$E$34)),ABS(('Monthly Viewing Forecast'!$D$67)-('Monthly Viewing Forecast'!$D$66*'Title Inputs'!$F$24*Scenarios!$F$34)),ABS(('Monthly Viewing Forecast'!$D$73)-('Monthly Viewing Forecast'!$D$72*'Title Inputs'!$G$24*Scenarios!$G$34)),ABS(('Monthly Viewing Forecast'!$D$88)-('Monthly Viewing Forecast'!$D$87*'Title Inputs'!$C$24*Scenarios!$C$43)),ABS(('Monthly Viewing Forecast'!$D$94)-('Monthly Viewing Forecast'!$D$93*'Title Inputs'!$D$24*Scenarios!$D$43)),ABS(('Monthly Viewing Forecast'!$D$100)-('Monthly Viewing Forecast'!$D$99*'Title Inputs'!$E$24*Scenarios!$E$43)),ABS(('Monthly Viewing Forecast'!$D$106)-('Monthly Viewing Forecast'!$D$105*'Title Inputs'!$F$24*Scenarios!$F$43)),ABS(('Monthly Viewing Forecast'!$D$112)-('Monthly Viewing Forecast'!$D$111*'Title Inputs'!$G$24*Scenarios!$G$43)))</f>
        <v>0</v>
      </c>
      <c r="E11" s="68" t="n">
        <v>1</v>
      </c>
      <c r="F11" s="69" t="str">
        <f aca="false">IF($D11&lt;=$E11,"PASS","FAIL")</f>
        <v>PASS</v>
      </c>
    </row>
    <row r="12" customFormat="false" ht="30" hidden="false" customHeight="true" outlineLevel="0" collapsed="false">
      <c r="A12" s="63" t="n">
        <v>5</v>
      </c>
      <c r="B12" s="8" t="s">
        <v>441</v>
      </c>
      <c r="C12" s="7" t="s">
        <v>442</v>
      </c>
      <c r="D12" s="22" t="n">
        <f aca="false">MAX(ABS(('Monthly Viewing Forecast'!$D$11)-('Monthly Viewing Forecast'!$D$10/1000*Scenarios!$C$26)),ABS(('Monthly Viewing Forecast'!$D$17)-('Monthly Viewing Forecast'!$D$16/1000*Scenarios!$D$26)),ABS(('Monthly Viewing Forecast'!$D$23)-('Monthly Viewing Forecast'!$D$22/1000*Scenarios!$E$26)),ABS(('Monthly Viewing Forecast'!$D$29)-('Monthly Viewing Forecast'!$D$28/1000*Scenarios!$F$26)),ABS(('Monthly Viewing Forecast'!$D$35)-('Monthly Viewing Forecast'!$D$34/1000*Scenarios!$G$26)),ABS(('Monthly Viewing Forecast'!$D$50)-('Monthly Viewing Forecast'!$D$49/1000*Scenarios!$C$35)),ABS(('Monthly Viewing Forecast'!$D$56)-('Monthly Viewing Forecast'!$D$55/1000*Scenarios!$D$35)),ABS(('Monthly Viewing Forecast'!$D$62)-('Monthly Viewing Forecast'!$D$61/1000*Scenarios!$E$35)),ABS(('Monthly Viewing Forecast'!$D$68)-('Monthly Viewing Forecast'!$D$67/1000*Scenarios!$F$35)),ABS(('Monthly Viewing Forecast'!$D$74)-('Monthly Viewing Forecast'!$D$73/1000*Scenarios!$G$35)),ABS(('Monthly Viewing Forecast'!$D$89)-('Monthly Viewing Forecast'!$D$88/1000*Scenarios!$C$44)),ABS(('Monthly Viewing Forecast'!$D$95)-('Monthly Viewing Forecast'!$D$94/1000*Scenarios!$D$44)),ABS(('Monthly Viewing Forecast'!$D$101)-('Monthly Viewing Forecast'!$D$100/1000*Scenarios!$E$44)),ABS(('Monthly Viewing Forecast'!$D$107)-('Monthly Viewing Forecast'!$D$106/1000*Scenarios!$F$44)),ABS(('Monthly Viewing Forecast'!$D$113)-('Monthly Viewing Forecast'!$D$112/1000*Scenarios!$G$44)))</f>
        <v>0</v>
      </c>
      <c r="E12" s="68" t="n">
        <v>1</v>
      </c>
      <c r="F12" s="69" t="str">
        <f aca="false">IF($D12&lt;=$E12,"PASS","FAIL")</f>
        <v>PASS</v>
      </c>
    </row>
    <row r="13" customFormat="false" ht="30" hidden="false" customHeight="true" outlineLevel="0" collapsed="false">
      <c r="A13" s="63" t="n">
        <v>6</v>
      </c>
      <c r="B13" s="8" t="s">
        <v>443</v>
      </c>
      <c r="C13" s="7" t="s">
        <v>444</v>
      </c>
      <c r="D13" s="22" t="n">
        <f aca="false">MAX(ABS(('Title Economics'!$D$51)-('Title Economics'!$D$14+'Title Economics'!$D$21+'Title Economics'!$D$28+'Title Economics'!$D$35+'Title Economics'!$D$42)),ABS(('Title Economics'!$D$104)-('Title Economics'!$D$67+'Title Economics'!$D$74+'Title Economics'!$D$81+'Title Economics'!$D$88+'Title Economics'!$D$95)),ABS(('Title Economics'!$D$157)-('Title Economics'!$D$120+'Title Economics'!$D$127+'Title Economics'!$D$134+'Title Economics'!$D$141+'Title Economics'!$D$148)))</f>
        <v>0</v>
      </c>
      <c r="E13" s="68" t="n">
        <v>1</v>
      </c>
      <c r="F13" s="69" t="str">
        <f aca="false">IF($D13&lt;=$E13,"PASS","FAIL")</f>
        <v>PASS</v>
      </c>
    </row>
    <row r="14" customFormat="false" ht="30" hidden="false" customHeight="true" outlineLevel="0" collapsed="false">
      <c r="A14" s="63" t="n">
        <v>7</v>
      </c>
      <c r="B14" s="8" t="s">
        <v>445</v>
      </c>
      <c r="C14" s="7" t="s">
        <v>446</v>
      </c>
      <c r="D14" s="22" t="n">
        <f aca="false">ABS('Title Economics'!$H$171-INDEX(Scenarios!$C$50:$E$50,1,Scenarios!$C$7))</f>
        <v>0</v>
      </c>
      <c r="E14" s="68" t="n">
        <v>1</v>
      </c>
      <c r="F14" s="69" t="str">
        <f aca="false">IF($D14&lt;=$E14,"PASS","FAIL")</f>
        <v>PASS</v>
      </c>
    </row>
    <row r="15" customFormat="false" ht="30" hidden="false" customHeight="true" outlineLevel="0" collapsed="false">
      <c r="A15" s="63" t="n">
        <v>8</v>
      </c>
      <c r="B15" s="8" t="s">
        <v>447</v>
      </c>
      <c r="C15" s="7" t="s">
        <v>448</v>
      </c>
      <c r="D15" s="22" t="n">
        <f aca="false">MAX(0,MAX(Scenarios!$C$24,Scenarios!$D$24,Scenarios!$E$24,Scenarios!$F$24,Scenarios!$G$24,Scenarios!$C$25,Scenarios!$D$25,Scenarios!$E$25,Scenarios!$F$25,Scenarios!$G$25,Scenarios!$C$33,Scenarios!$D$33,Scenarios!$E$33,Scenarios!$F$33,Scenarios!$G$33,Scenarios!$C$34,Scenarios!$D$34,Scenarios!$E$34,Scenarios!$F$34,Scenarios!$G$34,Scenarios!$C$42,Scenarios!$D$42,Scenarios!$E$42,Scenarios!$F$42,Scenarios!$G$42,Scenarios!$C$43,Scenarios!$D$43,Scenarios!$E$43,Scenarios!$F$43,Scenarios!$G$43)-1)</f>
        <v>0</v>
      </c>
      <c r="E15" s="68" t="n">
        <v>0</v>
      </c>
      <c r="F15" s="69" t="str">
        <f aca="false">IF($D15&lt;=$E15,"PASS","FAIL")</f>
        <v>PASS</v>
      </c>
    </row>
    <row r="16" customFormat="false" ht="30" hidden="false" customHeight="true" outlineLevel="0" collapsed="false">
      <c r="A16" s="63" t="n">
        <v>9</v>
      </c>
      <c r="B16" s="8" t="s">
        <v>449</v>
      </c>
      <c r="C16" s="7" t="s">
        <v>450</v>
      </c>
      <c r="D16" s="22" t="n">
        <f aca="false">MAX(0,-MIN('Monthly Viewing Forecast'!$D$37,'Monthly Viewing Forecast'!$D$38,'Monthly Viewing Forecast'!$D$39,'Monthly Viewing Forecast'!$D$40,'Monthly Viewing Forecast'!$D$76,'Monthly Viewing Forecast'!$D$77,'Monthly Viewing Forecast'!$D$78,'Monthly Viewing Forecast'!$D$79,'Monthly Viewing Forecast'!$D$115,'Monthly Viewing Forecast'!$D$116,'Monthly Viewing Forecast'!$D$117,'Monthly Viewing Forecast'!$D$118,Scenarios!$C$26,Scenarios!$D$26,Scenarios!$E$26,Scenarios!$F$26,Scenarios!$G$26,Scenarios!$C$35,Scenarios!$D$35,Scenarios!$E$35,Scenarios!$F$35,Scenarios!$G$35,Scenarios!$C$44,Scenarios!$D$44,Scenarios!$E$44,Scenarios!$F$44,Scenarios!$G$44))</f>
        <v>0</v>
      </c>
      <c r="E16" s="68" t="n">
        <v>0</v>
      </c>
      <c r="F16" s="69" t="str">
        <f aca="false">IF($D16&lt;=$E16,"PASS","FAIL")</f>
        <v>PASS</v>
      </c>
    </row>
    <row r="17" customFormat="false" ht="30" hidden="false" customHeight="true" outlineLevel="0" collapsed="false">
      <c r="A17" s="63" t="n">
        <v>10</v>
      </c>
      <c r="B17" s="8" t="s">
        <v>451</v>
      </c>
      <c r="C17" s="7" t="s">
        <v>452</v>
      </c>
      <c r="D17" s="22" t="n">
        <f aca="false">MAX(ABS('Deal Structures'!$D$9-'Deal Structures'!$D$6),ABS('Deal Structures'!$D$30-'Deal Structures'!$D$6),ABS('Deal Structures'!$D$51-'Deal Structures'!$D$6),ABS('Deal Structures'!$D$17-MAX(Assumptions!$C$37,'Deal Structures'!$D$15)),ABS('Deal Structures'!$D$38-MAX(Assumptions!$C$37,'Deal Structures'!$D$36)),ABS('Deal Structures'!$D$59-MAX(Assumptions!$C$37,'Deal Structures'!$D$57)),ABS('Deal Structures'!$D$23-(Assumptions!$C$41+IF('Deal Structures'!P22&gt;=Assumptions!$C$43,Assumptions!$C$42,0)+IF('Deal Structures'!V22&gt;=Assumptions!$C$45,Assumptions!$C$44,0)+IF('Deal Structures'!AB22&gt;=Assumptions!$C$47,Assumptions!$C$46,0))),ABS('Deal Structures'!$D$44-(Assumptions!$C$41+IF('Deal Structures'!P43&gt;=Assumptions!$C$43,Assumptions!$C$42,0)+IF('Deal Structures'!V43&gt;=Assumptions!$C$45,Assumptions!$C$44,0)+IF('Deal Structures'!AB43&gt;=Assumptions!$C$47,Assumptions!$C$46,0))),ABS('Deal Structures'!$D$65-(Assumptions!$C$41+IF('Deal Structures'!P64&gt;=Assumptions!$C$43,Assumptions!$C$42,0)+IF('Deal Structures'!V64&gt;=Assumptions!$C$45,Assumptions!$C$44,0)+IF('Deal Structures'!AB64&gt;=Assumptions!$C$47,Assumptions!$C$46,0))))</f>
        <v>0</v>
      </c>
      <c r="E17" s="68" t="n">
        <v>1</v>
      </c>
      <c r="F17" s="69" t="str">
        <f aca="false">IF($D17&lt;=$E17,"PASS","FAIL")</f>
        <v>PASS</v>
      </c>
    </row>
    <row r="18" customFormat="false" ht="30" hidden="false" customHeight="true" outlineLevel="0" collapsed="false">
      <c r="A18" s="63" t="n">
        <v>11</v>
      </c>
      <c r="B18" s="8" t="s">
        <v>453</v>
      </c>
      <c r="C18" s="7" t="s">
        <v>454</v>
      </c>
      <c r="D18" s="22" t="n">
        <f aca="false">MAX(ABS((Scenarios!C77)*('Title Economics'!$D$53+Scenarios!$C$66*Assumptions!$C$34)-Scenarios!C76),ABS((Scenarios!D77)*('Title Economics'!$D$106+Scenarios!$C$66*Assumptions!$C$34)-Scenarios!D76),ABS((Scenarios!E77)*('Title Economics'!$D$159+Scenarios!$C$66*Assumptions!$C$34)-Scenarios!E76))</f>
        <v>2.3283064365387E-010</v>
      </c>
      <c r="E18" s="68" t="n">
        <v>1</v>
      </c>
      <c r="F18" s="69" t="str">
        <f aca="false">IF($D18&lt;=$E18,"PASS","FAIL")</f>
        <v>PASS</v>
      </c>
    </row>
    <row r="19" customFormat="false" ht="30" hidden="false" customHeight="true" outlineLevel="0" collapsed="false">
      <c r="A19" s="63" t="n">
        <v>12</v>
      </c>
      <c r="B19" s="8" t="s">
        <v>455</v>
      </c>
      <c r="C19" s="7" t="s">
        <v>456</v>
      </c>
      <c r="D19" s="22" t="n">
        <f aca="false">MAX(ABS('Executive Summary'!$C$11-Scenarios!$C$66),ABS('Executive Summary'!$C$12-Scenarios!$C$63),ABS('Executive Summary'!$C$10-Scenarios!$C$67),ABS('Executive Summary'!$C$8-Scenarios!$C$62),ABS('Executive Summary'!$C$18-Scenarios!$D$76),ABS('Executive Summary'!$C$35-'Title Economics'!$H$171),ABS('Executive Summary'!$C$41-'Title Economics'!$H$177))</f>
        <v>0</v>
      </c>
      <c r="E19" s="68" t="n">
        <v>1</v>
      </c>
      <c r="F19" s="69" t="str">
        <f aca="false">IF($D19&lt;=$E19,"PASS","FAIL")</f>
        <v>PASS</v>
      </c>
    </row>
    <row r="20" customFormat="false" ht="30" hidden="false" customHeight="true" outlineLevel="0" collapsed="false">
      <c r="A20" s="63" t="n">
        <v>13</v>
      </c>
      <c r="B20" s="8" t="s">
        <v>457</v>
      </c>
      <c r="C20" s="7" t="s">
        <v>458</v>
      </c>
      <c r="D20" s="22" t="n">
        <f aca="false">ABS('Executive Summary'!$C$9-Scenarios!$D$59)+ABS('Executive Summary'!$C$44-Sensitivities!$D$61)+ABS('Executive Summary'!$C$47-Sensitivities!$D$42)+ABS('Executive Summary'!$C$31-'Deal Structures'!$E$82)</f>
        <v>0</v>
      </c>
      <c r="E20" s="68" t="n">
        <v>1</v>
      </c>
      <c r="F20" s="69" t="str">
        <f aca="false">IF($D20&lt;=$E20,"PASS","FAIL")</f>
        <v>PASS</v>
      </c>
    </row>
    <row r="21" customFormat="false" ht="30" hidden="false" customHeight="true" outlineLevel="0" collapsed="false">
      <c r="A21" s="63" t="n">
        <v>14</v>
      </c>
      <c r="B21" s="8" t="s">
        <v>459</v>
      </c>
      <c r="C21" s="7" t="s">
        <v>460</v>
      </c>
      <c r="D21" s="22" t="n">
        <f aca="false">ABS(Assumptions!$C$27-1)</f>
        <v>0</v>
      </c>
      <c r="E21" s="68" t="n">
        <v>0.0001</v>
      </c>
      <c r="F21" s="69" t="str">
        <f aca="false">IF($D21&lt;=$E21,"PASS","FAIL")</f>
        <v>PASS</v>
      </c>
    </row>
    <row r="23" customFormat="false" ht="15" hidden="false" customHeight="false" outlineLevel="0" collapsed="false">
      <c r="B23" s="14" t="s">
        <v>461</v>
      </c>
    </row>
    <row r="24" customFormat="false" ht="15" hidden="false" customHeight="false" outlineLevel="0" collapsed="false">
      <c r="B24" s="14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2026-08-30T18:38:07Z</dcterms:created>
  <dc:creator>openpyxl</dc:creator>
  <dc:description/>
  <dc:language>en-US</dc:language>
  <cp:lastModifiedBy/>
  <dcterms:modified xsi:type="dcterms:W3CDTF">2026-08-30T18:38:11Z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