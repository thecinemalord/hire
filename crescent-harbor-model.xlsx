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5"/>
    <sheet state="visible" name="Transaction Overview" sheetId="2" r:id="rId6"/>
    <sheet state="visible" name="Investment Committee Decision" sheetId="3" r:id="rId7"/>
    <sheet state="visible" name="Executive Dashboard" sheetId="4" r:id="rId8"/>
    <sheet state="visible" name="Inputs &amp; Assumptions" sheetId="5" r:id="rId9"/>
    <sheet state="visible" name="Library Valuation" sheetId="6" r:id="rId10"/>
    <sheet state="visible" name="Revenue Waterfall" sheetId="7" r:id="rId11"/>
    <sheet state="visible" name="Borrowing Base" sheetId="8" r:id="rId12"/>
    <sheet state="visible" name="Debt Structure" sheetId="9" r:id="rId13"/>
    <sheet state="visible" name="Debt Service" sheetId="10" r:id="rId14"/>
    <sheet state="visible" name="Sensitivity Analysis" sheetId="11" r:id="rId15"/>
    <sheet state="visible" name="Scenario Analysis" sheetId="12" r:id="rId16"/>
    <sheet state="visible" name="Comparable Transactions" sheetId="13" r:id="rId17"/>
    <sheet state="visible" name="Risk Matrix" sheetId="14" r:id="rId18"/>
    <sheet state="visible" name="Credit Scorecard" sheetId="15" r:id="rId19"/>
    <sheet state="visible" name="Recovery Analysis" sheetId="16" r:id="rId20"/>
    <sheet state="visible" name="Market Data" sheetId="17" r:id="rId21"/>
    <sheet state="visible" name="Sources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Assumption: Illustrative closing date | As-of: 2026-07-12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7">
      <text>
        <t xml:space="preserve">Assumption: Illustrative long-run inflation | As-of: 2026-07-12</t>
      </text>
    </comment>
    <comment authorId="0" ref="C34">
      <text>
        <t xml:space="preserve">Assumption: Illustrative upfront fee | As-of: 2026-07-12</t>
      </text>
    </comment>
    <comment authorId="0" ref="C63">
      <text>
        <t xml:space="preserve">Assumption: Probability of default | As-of: 2026-07-12 | Notes: Illustrative underwriting input, not a rating agency estimate.</t>
      </text>
    </comment>
    <comment authorId="0" ref="C59">
      <text>
        <t xml:space="preserve">Assumption: No haircut on eligible cash | As-of: 2026-07-12</t>
      </text>
    </comment>
    <comment authorId="0" ref="C26">
      <text>
        <t xml:space="preserve">Assumption: Illustrative residual rate | As-of: 2026-07-12</t>
      </text>
    </comment>
    <comment authorId="0" ref="C55">
      <text>
        <t xml:space="preserve">Assumption: Media library valuation haircut | As-of: 2026-07-12 | Notes: Reassess through independent appraisal and semiannual redetermination.</t>
      </text>
    </comment>
    <comment authorId="0" ref="C84">
      <text>
        <t xml:space="preserve">Assumption: Illustrative committee assessment | As-of: 2026-07-12</t>
      </text>
    </comment>
    <comment authorId="0" ref="C51">
      <text>
        <t xml:space="preserve">Assumption: Illustrative lender advance rate | As-of: 2026-07-12</t>
      </text>
    </comment>
    <comment authorId="0" ref="C18">
      <text>
        <t xml:space="preserve">Assumption: Illustrative channel mix | As-of: 2026-07-12</t>
      </text>
    </comment>
    <comment authorId="0" ref="C80">
      <text>
        <t xml:space="preserve">Assumption: Illustrative committee assessment | As-of: 2026-07-12</t>
      </text>
    </comment>
    <comment authorId="0" ref="C14">
      <text>
        <t xml:space="preserve">Assumption: Illustrative channel mix | As-of: 2026-07-12</t>
      </text>
    </comment>
    <comment authorId="0" ref="C76">
      <text>
        <t xml:space="preserve">Assumption: Illustrative liquidation recovery | As-of: 2026-07-12</t>
      </text>
    </comment>
    <comment authorId="0" ref="C43">
      <text>
        <t xml:space="preserve">Assumption: Gross international pre-sales | As-of: 2026-07-12 | Notes: Validate executed contracts, delivery conditions, counterparty credit and lender notices.</t>
      </text>
    </comment>
    <comment authorId="0" ref="C10">
      <text>
        <t xml:space="preserve">Assumption: Year 4 revenue decay | As-of: 2026-07-12 | Notes: Illustrative; back-test against title cohorts.</t>
      </text>
    </comment>
    <comment authorId="0" ref="C72">
      <text>
        <t xml:space="preserve">Assumption: Illustrative liquidation recovery | As-of: 2026-07-12</t>
      </text>
    </comment>
    <comment authorId="0" ref="C39">
      <text>
        <t xml:space="preserve">Assumption: Illustrative excess cash sweep | As-of: 2026-07-12</t>
      </text>
    </comment>
    <comment authorId="0" ref="C6">
      <text>
        <t xml:space="preserve">Assumption: Perpetual terminal growth rate | As-of: 2026-07-12 | Notes: Material to terminal value; validate against library aging and contractual visibility.</t>
      </text>
    </comment>
    <comment authorId="0" ref="C68">
      <text>
        <t xml:space="preserve">Assumption: USD base currency | As-of: 2026-07-12</t>
      </text>
    </comment>
    <comment authorId="0" ref="C35">
      <text>
        <t xml:space="preserve">Assumption: Illustrative exit fee | As-of: 2026-07-12</t>
      </text>
    </comment>
    <comment authorId="0" ref="C31">
      <text>
        <t xml:space="preserve">Source: Federal Reserve Bank of New York | As-of: latest populated date | Ref: SOFR rate</t>
      </text>
    </comment>
    <comment authorId="0" ref="C60">
      <text>
        <t xml:space="preserve">Assumption: Illustrative collateral haircut | As-of: 2026-07-12</t>
      </text>
    </comment>
    <comment authorId="0" ref="C27">
      <text>
        <t xml:space="preserve">Assumption: Illustrative guild payment rate | As-of: 2026-07-12</t>
      </text>
    </comment>
    <comment authorId="0" ref="C56">
      <text>
        <t xml:space="preserve">Assumption: Tax credit haircut | As-of: 2026-07-12 | Notes: Increase for timing, audit, recoupment or jurisdictional uncertainty.</t>
      </text>
    </comment>
    <comment authorId="0" ref="C23">
      <text>
        <t xml:space="preserve">Assumption: Illustrative channel mix | As-of: 2026-07-12</t>
      </text>
    </comment>
    <comment authorId="0" ref="C85">
      <text>
        <t xml:space="preserve">Assumption: Illustrative committee assessment | As-of: 2026-07-12</t>
      </text>
    </comment>
    <comment authorId="0" ref="C52">
      <text>
        <t xml:space="preserve">Assumption: Cash advanced at par | As-of: 2026-07-12</t>
      </text>
    </comment>
    <comment authorId="0" ref="C19">
      <text>
        <t xml:space="preserve">Assumption: Illustrative channel mix | As-of: 2026-07-12</t>
      </text>
    </comment>
    <comment authorId="0" ref="C81">
      <text>
        <t xml:space="preserve">Assumption: Illustrative committee assessment | As-of: 2026-07-12</t>
      </text>
    </comment>
    <comment authorId="0" ref="C48">
      <text>
        <t xml:space="preserve">Assumption: Media library advance rate | As-of: 2026-07-12 | Notes: Apply only to independently appraised, perfected and eligible collateral.</t>
      </text>
    </comment>
    <comment authorId="0" ref="C15">
      <text>
        <t xml:space="preserve">Assumption: Illustrative channel mix | As-of: 2026-07-12</t>
      </text>
    </comment>
    <comment authorId="0" ref="C44">
      <text>
        <t xml:space="preserve">Assumption: Illustrative eligible receivables | As-of: 2026-07-12</t>
      </text>
    </comment>
    <comment authorId="0" ref="C11">
      <text>
        <t xml:space="preserve">Assumption: Year 5 revenue decay | As-of: 2026-07-12 | Notes: Illustrative; back-test against title cohorts.</t>
      </text>
    </comment>
    <comment authorId="0" ref="C73">
      <text>
        <t xml:space="preserve">Assumption: Illustrative liquidation recovery | As-of: 2026-07-12</t>
      </text>
    </comment>
    <comment authorId="0" ref="C7">
      <text>
        <t xml:space="preserve">Assumption: Year 1 gross library revenue | As-of: 2026-07-12 | Notes: Illustrative portfolio revenue; reconcile to title-level contracts and collection history.</t>
      </text>
    </comment>
    <comment authorId="0" ref="C36">
      <text>
        <t xml:space="preserve">Assumption: Proposed total facility commitment | As-of: 2026-07-12 | Notes: Must remain within borrowing-base and covenant limits.</t>
      </text>
    </comment>
    <comment authorId="0" ref="C65">
      <text>
        <t xml:space="preserve">Assumption: Weighted average recovery timing | As-of: 2026-07-12 | Notes: Material to PV recovery; validate against enforcement and asset sale timelines.</t>
      </text>
    </comment>
    <comment authorId="0" ref="C32">
      <text>
        <t xml:space="preserve">Assumption: Credit spread on proposed unitranche | As-of: 2026-07-12 | Notes: Illustrative underwriting term; subject to market flex and documentation.</t>
      </text>
    </comment>
    <comment authorId="0" ref="C28">
      <text>
        <t xml:space="preserve">Assumption: Illustrative participations | As-of: 2026-07-12</t>
      </text>
    </comment>
    <comment authorId="0" ref="C57">
      <text>
        <t xml:space="preserve">Assumption: Pre-sales haircut | As-of: 2026-07-12 | Notes: Increase for delivery, completion, currency or counterparty risk.</t>
      </text>
    </comment>
    <comment authorId="0" ref="C53">
      <text>
        <t xml:space="preserve">Assumption: Illustrative lender advance rate | As-of: 2026-07-12</t>
      </text>
    </comment>
    <comment authorId="0" ref="C82">
      <text>
        <t xml:space="preserve">Assumption: Illustrative committee assessment | As-of: 2026-07-12</t>
      </text>
    </comment>
    <comment authorId="0" ref="C49">
      <text>
        <t xml:space="preserve">Assumption: Tax credit advance rate | As-of: 2026-07-12 | Notes: Subject to jurisdictional diligence, timing reserves and eligibility exclusions.</t>
      </text>
    </comment>
    <comment authorId="0" ref="C16">
      <text>
        <t xml:space="preserve">Assumption: Illustrative channel mix | As-of: 2026-07-12</t>
      </text>
    </comment>
    <comment authorId="0" ref="C78">
      <text>
        <t xml:space="preserve">Assumption: Illustrative committee assessment | As-of: 2026-07-12</t>
      </text>
    </comment>
    <comment authorId="0" ref="C45">
      <text>
        <t xml:space="preserve">Assumption: Illustrative restricted cash | As-of: 2026-07-12</t>
      </text>
    </comment>
    <comment authorId="0" ref="C12">
      <text>
        <t xml:space="preserve">Assumption: Annual revenue decay for Years 6-10 | As-of: 2026-07-12 | Notes: Material to terminal value and long-tail cash flow.</t>
      </text>
    </comment>
    <comment authorId="0" ref="C74">
      <text>
        <t xml:space="preserve">Assumption: Illustrative liquidation recovery | As-of: 2026-07-12</t>
      </text>
    </comment>
    <comment authorId="0" ref="C8">
      <text>
        <t xml:space="preserve">Assumption: Year 2 revenue decay | As-of: 2026-07-12 | Notes: Illustrative; back-test against title cohorts.</t>
      </text>
    </comment>
    <comment authorId="0" ref="C37">
      <text>
        <t xml:space="preserve">Assumption: Illustrative tenor | As-of: 2026-07-12</t>
      </text>
    </comment>
    <comment authorId="0" ref="C33">
      <text>
        <t xml:space="preserve">Assumption: Illustrative OID | As-of: 2026-07-12</t>
      </text>
    </comment>
    <comment authorId="0" ref="C62">
      <text>
        <t xml:space="preserve">Assumption: Library recovery rate | As-of: 2026-07-12 | Notes: Illustrative liquidation recovery; validate with appraisal methodology and enforcement costs.</t>
      </text>
    </comment>
    <comment authorId="0" ref="C29">
      <text>
        <t xml:space="preserve">Assumption: Illustrative collection account fee | As-of: 2026-07-12</t>
      </text>
    </comment>
    <comment authorId="0" ref="C58">
      <text>
        <t xml:space="preserve">Assumption: Illustrative collateral haircut | As-of: 2026-07-12</t>
      </text>
    </comment>
    <comment authorId="0" ref="C25">
      <text>
        <t xml:space="preserve">Assumption: Illustrative distribution fee | As-of: 2026-07-12</t>
      </text>
    </comment>
    <comment authorId="0" ref="C21">
      <text>
        <t xml:space="preserve">Assumption: Illustrative channel mix | As-of: 2026-07-12</t>
      </text>
    </comment>
    <comment authorId="0" ref="C83">
      <text>
        <t xml:space="preserve">Assumption: Illustrative committee assessment | As-of: 2026-07-12</t>
      </text>
    </comment>
    <comment authorId="0" ref="C50">
      <text>
        <t xml:space="preserve">Assumption: Pre-sales advance rate | As-of: 2026-07-12 | Notes: Subject to approved counterparty and contract eligibility criteria.</t>
      </text>
    </comment>
    <comment authorId="0" ref="C79">
      <text>
        <t xml:space="preserve">Assumption: Illustrative committee assessment | As-of: 2026-07-12</t>
      </text>
    </comment>
    <comment authorId="0" ref="C46">
      <text>
        <t xml:space="preserve">Assumption: Illustrative other collateral | As-of: 2026-07-12</t>
      </text>
    </comment>
    <comment authorId="0" ref="C75">
      <text>
        <t xml:space="preserve">Assumption: Eligible cash recovers at par | As-of: 2026-07-12</t>
      </text>
    </comment>
    <comment authorId="0" ref="C42">
      <text>
        <t xml:space="preserve">Assumption: Gross eligible tax credits | As-of: 2026-07-12 | Notes: Validate jurisdiction, eligibility, assignability, timing, audit status and obligor setoff rights.</t>
      </text>
    </comment>
    <comment authorId="0" ref="C9">
      <text>
        <t xml:space="preserve">Assumption: Year 3 revenue decay | As-of: 2026-07-12 | Notes: Illustrative; back-test against title cohorts.</t>
      </text>
    </comment>
    <comment authorId="0" ref="C38">
      <text>
        <t xml:space="preserve">Assumption: Illustrative annual amortization | As-of: 2026-07-12</t>
      </text>
    </comment>
    <comment authorId="0" ref="C5">
      <text>
        <t xml:space="preserve">Assumption: Discount rate used for library DCF and recovery discounting | As-of: 2026-07-12 | Notes: Illustrative; obtain independent valuation support.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Assumption: Illustrative other asset recovery | As-of: 2026-07-12</t>
      </text>
    </comment>
    <comment authorId="0" ref="C9">
      <text>
        <t xml:space="preserve">Assumption: Cash recovery at par | As-of: 2026-07-12</t>
      </text>
    </comment>
    <comment authorId="0" ref="C8">
      <text>
        <t xml:space="preserve">Assumption: Illustrative pre-sale recovery | As-of: 2026-07-12</t>
      </text>
    </comment>
    <comment authorId="0" ref="C7">
      <text>
        <t xml:space="preserve">Assumption: Illustrative tax credit recovery | As-of: 2026-07-12</t>
      </text>
    </comment>
    <comment authorId="0" ref="C6">
      <text>
        <t xml:space="preserve">Assumption: Illustrative receivables recovery | As-of: 2026-07-12</t>
      </text>
    </comment>
  </commentList>
</comments>
</file>

<file path=xl/sharedStrings.xml><?xml version="1.0" encoding="utf-8"?>
<sst xmlns="http://schemas.openxmlformats.org/spreadsheetml/2006/main" count="922" uniqueCount="483">
  <si>
    <t>Executive Dashboard — Media &amp; Entertainment Private Credit</t>
  </si>
  <si>
    <t>Investment Committee Decision — Media &amp; Entertainment Credit Facility</t>
  </si>
  <si>
    <t>Transaction Overview</t>
  </si>
  <si>
    <t>Investment question: What is being financed, on what terms, and with what collateral?</t>
  </si>
  <si>
    <t>Institutional underwriting summary | Illustrative transaction | USD unless noted</t>
  </si>
  <si>
    <t>Investment question: What are the decisive credit metrics, downside outcomes, and warning flags?</t>
  </si>
  <si>
    <t>Item</t>
  </si>
  <si>
    <t>Description / Value</t>
  </si>
  <si>
    <t>Borrower</t>
  </si>
  <si>
    <t>Crescent Harbor Media Holdings, LLC</t>
  </si>
  <si>
    <t>Recommendation</t>
  </si>
  <si>
    <t>Facility Type</t>
  </si>
  <si>
    <t>Senior Secured Unitranche Borrowing Base Facility</t>
  </si>
  <si>
    <t>Purpose</t>
  </si>
  <si>
    <t>Refinancing, working capital, and selective content investment</t>
  </si>
  <si>
    <t>Collateral Package</t>
  </si>
  <si>
    <t>Media library, tax credits, international pre-sales, receivables, cash, and other eligible assets</t>
  </si>
  <si>
    <t>Security Position</t>
  </si>
  <si>
    <t>First-priority perfected security interest; subject to customary permitted liens</t>
  </si>
  <si>
    <t>Jurisdiction</t>
  </si>
  <si>
    <t>Delaware, United States</t>
  </si>
  <si>
    <t>Facility Amount</t>
  </si>
  <si>
    <t>Key Credit Metrics</t>
  </si>
  <si>
    <t>Media &amp; Entertainment Private Credit Model — Crescent Harbor Media Holdings, LLC</t>
  </si>
  <si>
    <t>Early Warning Indicators</t>
  </si>
  <si>
    <t>Tenor</t>
  </si>
  <si>
    <t>Facility Metrics</t>
  </si>
  <si>
    <t>Interest Structure</t>
  </si>
  <si>
    <t>Traffic-Light Status</t>
  </si>
  <si>
    <t>Credit Rating</t>
  </si>
  <si>
    <t>Facility Size</t>
  </si>
  <si>
    <t>Sources &amp; Uses</t>
  </si>
  <si>
    <t>Illustrative: refinance existing obligations and fund permitted business purposes</t>
  </si>
  <si>
    <t>Closing Date</t>
  </si>
  <si>
    <t>Investment Summary</t>
  </si>
  <si>
    <t>Senior Secured Unitranche Borrowing Base Facility | Illustrative Transaction — Not a Real Client Engagement</t>
  </si>
  <si>
    <t>DSCR</t>
  </si>
  <si>
    <t>1.25x minimum</t>
  </si>
  <si>
    <t>Overall Credit Score</t>
  </si>
  <si>
    <t>Borrowing Base</t>
  </si>
  <si>
    <t>Lender Takeaway</t>
  </si>
  <si>
    <t>LTV</t>
  </si>
  <si>
    <t>50.0% maximum</t>
  </si>
  <si>
    <t>Decision Rationale</t>
  </si>
  <si>
    <t>Interest Coverage</t>
  </si>
  <si>
    <t>Borrowing Base Coverage</t>
  </si>
  <si>
    <t>This illustrative model presents a $75.0 million private credit underwriting for a media-library-backed facility.</t>
  </si>
  <si>
    <t>1.10x minimum</t>
  </si>
  <si>
    <t>It covers borrowing-base mechanics, covenant structuring, sensitivity and scenario analysis, and recovery modeling.</t>
  </si>
  <si>
    <t>Gross Collateral Coverage</t>
  </si>
  <si>
    <t>Downside BB Coverage</t>
  </si>
  <si>
    <t>1.00x minimum</t>
  </si>
  <si>
    <t>The credit recommendation is “Approve with Conditions,” supported by a 3.22 overall score.</t>
  </si>
  <si>
    <t>Expected Gross Yield</t>
  </si>
  <si>
    <t>Loan-to-Value</t>
  </si>
  <si>
    <t>Downside borrowing-base performance and maturity refinancing risk are the binding credit issues.</t>
  </si>
  <si>
    <t>Recovery</t>
  </si>
  <si>
    <t>90.0% minimum</t>
  </si>
  <si>
    <t>Investment Thesis</t>
  </si>
  <si>
    <t>Minimum Pre-Maturity DSCR</t>
  </si>
  <si>
    <t>Expected Net Yield</t>
  </si>
  <si>
    <t>1.50x minimum</t>
  </si>
  <si>
    <t>Borrowing Base Utilization</t>
  </si>
  <si>
    <t>KEY FACTS</t>
  </si>
  <si>
    <t>Downside DSCR</t>
  </si>
  <si>
    <t>Risk Rating</t>
  </si>
  <si>
    <t>Minimum Interest Coverage</t>
  </si>
  <si>
    <t>Key Credit Strengths</t>
  </si>
  <si>
    <t>Inputs &amp; Assumptions — Hypothetical Media &amp; Entertainment Private Credit</t>
  </si>
  <si>
    <t>Principal Risks</t>
  </si>
  <si>
    <t>• Diversified collateral — library, tax credits, pre-sales, receivables, cash.</t>
  </si>
  <si>
    <t>Expected Recovery</t>
  </si>
  <si>
    <t>Library Value</t>
  </si>
  <si>
    <t>Investment question: Which assumptions drive valuation, liquidity, recovery, and credit risk?</t>
  </si>
  <si>
    <t>Credit Recommendation</t>
  </si>
  <si>
    <t>3 - Watch</t>
  </si>
  <si>
    <t>Maturity Cash Shortfall</t>
  </si>
  <si>
    <t>Approve with Conditions</t>
  </si>
  <si>
    <t>Category</t>
  </si>
  <si>
    <t>Assumption</t>
  </si>
  <si>
    <t>Value</t>
  </si>
  <si>
    <t>Prepared By</t>
  </si>
  <si>
    <t>Units</t>
  </si>
  <si>
    <t>Tanmay Srivastava</t>
  </si>
  <si>
    <t>Source</t>
  </si>
  <si>
    <t>Publication Date</t>
  </si>
  <si>
    <t>Comments</t>
  </si>
  <si>
    <t>Required Covenants</t>
  </si>
  <si>
    <t>Valuation</t>
  </si>
  <si>
    <t>Discount Rate</t>
  </si>
  <si>
    <t>Conditions Precedent</t>
  </si>
  <si>
    <t>%</t>
  </si>
  <si>
    <t>Illustrative Assumption</t>
  </si>
  <si>
    <t>• Minimum DSCR: 1.25x; cash trap below 1.35x.</t>
  </si>
  <si>
    <t>• Independent third-party library appraisal and verified chain of title.</t>
  </si>
  <si>
    <t>Editable underwriting input</t>
  </si>
  <si>
    <t>• Maximum LTV: 50%; mandatory paydown above 50%.</t>
  </si>
  <si>
    <t>• Perfection of first-priority liens and lender-controlled collection accounts.</t>
  </si>
  <si>
    <t>• Minimum borrowing-base coverage: 1.10x; immediate cure below 1.00x.</t>
  </si>
  <si>
    <t>• Validation of tax-credit eligibility, timing and assignability.</t>
  </si>
  <si>
    <t>• Quarterly borrowing-base certificates and semiannual independent library appraisals.</t>
  </si>
  <si>
    <t>Terminal Growth Rate</t>
  </si>
  <si>
    <t>• Counterparty diligence and executed notices for material pre-sales and receivables.</t>
  </si>
  <si>
    <t>• Controlled collection accounts, approved counterparties, concentration limits and full cash sweep.</t>
  </si>
  <si>
    <t>• Maturity takeout plan, liquidity reserve and interest-rate hedging acceptable to lenders.</t>
  </si>
  <si>
    <t>Used in library terminal value</t>
  </si>
  <si>
    <t>All figures and entities are illustrative and constructed for modeling demonstration purposes only.</t>
  </si>
  <si>
    <t>Monitoring Requirements</t>
  </si>
  <si>
    <t>Scenario Summary</t>
  </si>
  <si>
    <t>Model Validation</t>
  </si>
  <si>
    <t>Revenue</t>
  </si>
  <si>
    <t>• Monthly cash collections, waterfall performance and covenant reporting.</t>
  </si>
  <si>
    <t>Required Inputs Complete</t>
  </si>
  <si>
    <t>Year 1 Gross Revenue</t>
  </si>
  <si>
    <t>USD</t>
  </si>
  <si>
    <t>Metric</t>
  </si>
  <si>
    <t>Hypothetical portfolio revenue</t>
  </si>
  <si>
    <t>Base</t>
  </si>
  <si>
    <t>Downside</t>
  </si>
  <si>
    <t>Severe</t>
  </si>
  <si>
    <t>Revenue Growth / Decay Year 2</t>
  </si>
  <si>
    <t>• Quarterly DSCR, interest coverage, borrowing-base utilization and counterparty concentration.</t>
  </si>
  <si>
    <t>Channel Mix</t>
  </si>
  <si>
    <t>Editable</t>
  </si>
  <si>
    <t>• Semiannual collateral reappraisal and advance-rate redetermination.</t>
  </si>
  <si>
    <t>Debt Roll-Forward</t>
  </si>
  <si>
    <t>Revenue Growth / Decay Year 3</t>
  </si>
  <si>
    <t>• Immediate reporting of title disputes, tax-credit delays or distributor defaults.</t>
  </si>
  <si>
    <t>Key Formula Outputs</t>
  </si>
  <si>
    <t>Coverage</t>
  </si>
  <si>
    <t>Revenue Growth / Decay Year 4</t>
  </si>
  <si>
    <t>Revenue Growth / Decay Year 5</t>
  </si>
  <si>
    <t>• Annual recovery review and refinancing progress beginning 24 months before maturity.</t>
  </si>
  <si>
    <t>Maturity Cash Coverage</t>
  </si>
  <si>
    <t>Revenue Growth / Decay Years 6-10</t>
  </si>
  <si>
    <t>Applied annually</t>
  </si>
  <si>
    <t>Calculation Chain Integrity</t>
  </si>
  <si>
    <t>Lender Commentary</t>
  </si>
  <si>
    <t>Circular Reference Review</t>
  </si>
  <si>
    <t>PASS — no circular linkages identified</t>
  </si>
  <si>
    <t>SVOD</t>
  </si>
  <si>
    <t>Mix totals 100%</t>
  </si>
  <si>
    <t>Borrowing Base Composition — Chart Source</t>
  </si>
  <si>
    <t>Debt Outstanding — Chart Source</t>
  </si>
  <si>
    <t>Prepared for Investment Committee review; illustrative assumptions remain subject to confirmatory diligence and final documentation.</t>
  </si>
  <si>
    <t>Revenue Decay — Chart Source</t>
  </si>
  <si>
    <t>AVOD</t>
  </si>
  <si>
    <t>Media Library</t>
  </si>
  <si>
    <t>FAST</t>
  </si>
  <si>
    <t>Year 1</t>
  </si>
  <si>
    <t>Broadcast</t>
  </si>
  <si>
    <t>Tax Credits</t>
  </si>
  <si>
    <t>International TV</t>
  </si>
  <si>
    <t>Year 2</t>
  </si>
  <si>
    <t>Transactional VOD</t>
  </si>
  <si>
    <t>Airline</t>
  </si>
  <si>
    <t>International Pre-sales</t>
  </si>
  <si>
    <t>Year 3</t>
  </si>
  <si>
    <t>Educational</t>
  </si>
  <si>
    <t>Receivables</t>
  </si>
  <si>
    <t>Physical Media</t>
  </si>
  <si>
    <t>Year 4</t>
  </si>
  <si>
    <t>Other Licensing</t>
  </si>
  <si>
    <t>Cash</t>
  </si>
  <si>
    <t>Year 5</t>
  </si>
  <si>
    <t>Waterfall</t>
  </si>
  <si>
    <t>Distribution Fee</t>
  </si>
  <si>
    <t>Other Assets</t>
  </si>
  <si>
    <t>Applied to gross revenue</t>
  </si>
  <si>
    <t>Residual Rate</t>
  </si>
  <si>
    <t>Guild Payments</t>
  </si>
  <si>
    <t>Recovery &amp; Coverage</t>
  </si>
  <si>
    <t>Participations</t>
  </si>
  <si>
    <t>Model Status</t>
  </si>
  <si>
    <t>Recovery %</t>
  </si>
  <si>
    <t>Collection Account Fee</t>
  </si>
  <si>
    <t>Channel Mix Check</t>
  </si>
  <si>
    <t>Loss Severity</t>
  </si>
  <si>
    <t>Debt Roll-forward</t>
  </si>
  <si>
    <t>Debt</t>
  </si>
  <si>
    <t>SOFR</t>
  </si>
  <si>
    <t>Downside Coverage</t>
  </si>
  <si>
    <t>Federal Reserve Bank of New York</t>
  </si>
  <si>
    <t>Borrowing Base Coverage Threshold</t>
  </si>
  <si>
    <t>External market input</t>
  </si>
  <si>
    <t>Credit Spread</t>
  </si>
  <si>
    <t>Hypothetical underwriting term</t>
  </si>
  <si>
    <t>Downside DSCR Threshold</t>
  </si>
  <si>
    <t>OID</t>
  </si>
  <si>
    <t>Discount to par</t>
  </si>
  <si>
    <t>Upfront Fee</t>
  </si>
  <si>
    <t>On facility size</t>
  </si>
  <si>
    <t>Exit Fee</t>
  </si>
  <si>
    <t>On original principal</t>
  </si>
  <si>
    <t>Unitranche facility</t>
  </si>
  <si>
    <t>Years</t>
  </si>
  <si>
    <t>Annual model</t>
  </si>
  <si>
    <t>Mandatory Amortization</t>
  </si>
  <si>
    <t>Of original principal</t>
  </si>
  <si>
    <t>Cash Sweep</t>
  </si>
  <si>
    <t>After mandatory debt service</t>
  </si>
  <si>
    <t>Collateral</t>
  </si>
  <si>
    <t>Media Library Gross Value</t>
  </si>
  <si>
    <t>Calculated</t>
  </si>
  <si>
    <t>Linked to library NPV</t>
  </si>
  <si>
    <t>Tax Credits Gross Value</t>
  </si>
  <si>
    <t>Not public transaction data</t>
  </si>
  <si>
    <t>International Pre-sales Gross Value</t>
  </si>
  <si>
    <t>Receivables Gross Value</t>
  </si>
  <si>
    <t>Hypothetical</t>
  </si>
  <si>
    <t>Other Assets Gross Value</t>
  </si>
  <si>
    <t>Advance Rate</t>
  </si>
  <si>
    <t>Haircut</t>
  </si>
  <si>
    <t>Before advance rate</t>
  </si>
  <si>
    <t>Credit Risk</t>
  </si>
  <si>
    <t>Recovery Rate</t>
  </si>
  <si>
    <t>Portfolio recovery assumption</t>
  </si>
  <si>
    <t>Probability of Default</t>
  </si>
  <si>
    <t>Not a rating agency estimate</t>
  </si>
  <si>
    <t>Loss Given Default</t>
  </si>
  <si>
    <t>1 minus recovery rate</t>
  </si>
  <si>
    <t>Recovery Timing</t>
  </si>
  <si>
    <t>Weighted average</t>
  </si>
  <si>
    <t>Macro</t>
  </si>
  <si>
    <t>Inflation</t>
  </si>
  <si>
    <t>No external forecast used</t>
  </si>
  <si>
    <t>USD FX Rate</t>
  </si>
  <si>
    <t>x</t>
  </si>
  <si>
    <t>Placeholder for foreign receipts</t>
  </si>
  <si>
    <t>Checks</t>
  </si>
  <si>
    <t>PASS if 100%</t>
  </si>
  <si>
    <t>Receivables Recovery</t>
  </si>
  <si>
    <t>Tax Credits Recovery</t>
  </si>
  <si>
    <t>Pre-sales Recovery</t>
  </si>
  <si>
    <t>Cash Recovery</t>
  </si>
  <si>
    <t>Other Assets Recovery</t>
  </si>
  <si>
    <t>Scorecard</t>
  </si>
  <si>
    <t>Collateral Quality Score</t>
  </si>
  <si>
    <t>Score (1-5)</t>
  </si>
  <si>
    <t>Cash Flow Stability Score</t>
  </si>
  <si>
    <t>Diversification Score</t>
  </si>
  <si>
    <t>Management Score</t>
  </si>
  <si>
    <t>Legal Structure Score</t>
  </si>
  <si>
    <t>Liquidity Score</t>
  </si>
  <si>
    <t>Counterparty Risk Score</t>
  </si>
  <si>
    <t>Market Risk Score</t>
  </si>
  <si>
    <t>All material underwriting assumptions are centralized; illustrative inputs require confirmatory diligence before approval.</t>
  </si>
  <si>
    <t>Entertainment Library Valuation</t>
  </si>
  <si>
    <t>Investment question: What is the present value of recurring library cash flow after decay and waterfall deductions?</t>
  </si>
  <si>
    <t>Revenue Channel</t>
  </si>
  <si>
    <t>Year 6</t>
  </si>
  <si>
    <t>Year 7</t>
  </si>
  <si>
    <t>Year 8</t>
  </si>
  <si>
    <t>Year 9</t>
  </si>
  <si>
    <t>Year 10</t>
  </si>
  <si>
    <t>Gross Revenue</t>
  </si>
  <si>
    <t>Revenue Growth / Decay</t>
  </si>
  <si>
    <t>Less: Distribution Fee</t>
  </si>
  <si>
    <t>Less: Residuals</t>
  </si>
  <si>
    <t>Less: Guild Payments</t>
  </si>
  <si>
    <t>Less: Participations</t>
  </si>
  <si>
    <t>Less: Collection Account</t>
  </si>
  <si>
    <t>Annual Free Cash Flow</t>
  </si>
  <si>
    <t>Discount Factor</t>
  </si>
  <si>
    <t>Present Value of FCF</t>
  </si>
  <si>
    <t>Terminal Value</t>
  </si>
  <si>
    <t>PV of Terminal Value</t>
  </si>
  <si>
    <t>PV of Explicit FCF</t>
  </si>
  <si>
    <t>Total Library NPV</t>
  </si>
  <si>
    <t>Revenue Waterfall</t>
  </si>
  <si>
    <t>Investment question: How much cash remains available for debt service after contractual deductions?</t>
  </si>
  <si>
    <t>Waterfall Step</t>
  </si>
  <si>
    <t>Available Cash Flow</t>
  </si>
  <si>
    <t>Debt Service</t>
  </si>
  <si>
    <t>Cash Remaining</t>
  </si>
  <si>
    <t>Chart Source — Waterfall (Year 1)</t>
  </si>
  <si>
    <t>Residuals</t>
  </si>
  <si>
    <t>Collection Account</t>
  </si>
  <si>
    <t>Investment question: How much lendable value remains after eligibility tests, haircuts, and advance rates?</t>
  </si>
  <si>
    <t>Gross Value</t>
  </si>
  <si>
    <t>Eligible Value</t>
  </si>
  <si>
    <t>Unused Capacity</t>
  </si>
  <si>
    <t>Collateral Coverage</t>
  </si>
  <si>
    <t>Total</t>
  </si>
  <si>
    <t>Debt Structure</t>
  </si>
  <si>
    <t>Investment question: Do pricing, amortization, and lender economics compensate for the modeled risk?</t>
  </si>
  <si>
    <t>Term</t>
  </si>
  <si>
    <t>Units / Structure</t>
  </si>
  <si>
    <t>Floating benchmark</t>
  </si>
  <si>
    <t>Margin</t>
  </si>
  <si>
    <t>All-in Coupon</t>
  </si>
  <si>
    <t>Floating</t>
  </si>
  <si>
    <t>On commitments</t>
  </si>
  <si>
    <t>Amortization</t>
  </si>
  <si>
    <t>Annual mandatory</t>
  </si>
  <si>
    <t>Bullet Payment</t>
  </si>
  <si>
    <t>At maturity before sweep</t>
  </si>
  <si>
    <t>Excess cash flow</t>
  </si>
  <si>
    <t>Interest Frequency</t>
  </si>
  <si>
    <t>Quarterly</t>
  </si>
  <si>
    <t>Maturity</t>
  </si>
  <si>
    <t>Illustrative date</t>
  </si>
  <si>
    <t>Gross Yield</t>
  </si>
  <si>
    <t>Expected Credit Loss</t>
  </si>
  <si>
    <t>Debt Service Schedule</t>
  </si>
  <si>
    <t>Investment question: Can recurring cash flow service interest and scheduled principal through maturity?</t>
  </si>
  <si>
    <t>Opening Balance</t>
  </si>
  <si>
    <t>Cash Interest</t>
  </si>
  <si>
    <t>Total Debt Service</t>
  </si>
  <si>
    <t>Ending Balance</t>
  </si>
  <si>
    <t>Sensitivity Analysis</t>
  </si>
  <si>
    <t>Investment question: Which valuation and coverage assumptions most quickly erode lender protection?</t>
  </si>
  <si>
    <t>Discount Rate Sensitivity</t>
  </si>
  <si>
    <t>Revenue Decline Sensitivity</t>
  </si>
  <si>
    <t>Revenue Multiplier</t>
  </si>
  <si>
    <t>Interest Rate Sensitivity</t>
  </si>
  <si>
    <t>Rate Increase</t>
  </si>
  <si>
    <t>Advance Rate Sensitivity</t>
  </si>
  <si>
    <t>Library Advance Rate</t>
  </si>
  <si>
    <t>Facility Utilization</t>
  </si>
  <si>
    <t>Scenario Analysis</t>
  </si>
  <si>
    <t>Investment question: How does the facility perform under coordinated revenue, collateral, and rate stress?</t>
  </si>
  <si>
    <t>Driver</t>
  </si>
  <si>
    <t>Base Case</t>
  </si>
  <si>
    <t>Downside Case</t>
  </si>
  <si>
    <t>Severe Downside</t>
  </si>
  <si>
    <t>Tax Credits Multiplier</t>
  </si>
  <si>
    <t>Pre-sales Multiplier</t>
  </si>
  <si>
    <t>Interest Rate Increase</t>
  </si>
  <si>
    <t>Additional Haircut</t>
  </si>
  <si>
    <t>Comparable Transactions</t>
  </si>
  <si>
    <t>Investment question: How do publicly disclosed media credit structures inform pricing and covenant design?</t>
  </si>
  <si>
    <t>Company</t>
  </si>
  <si>
    <t>Year</t>
  </si>
  <si>
    <t>Facility</t>
  </si>
  <si>
    <t>Lender</t>
  </si>
  <si>
    <t>Interest Margin</t>
  </si>
  <si>
    <t>Date</t>
  </si>
  <si>
    <t>Reservoir Media, Inc.</t>
  </si>
  <si>
    <t>Truist Bank, as administrative agent; lender syndicate</t>
  </si>
  <si>
    <t>Substantially all tangible and intangible assets of borrower and guarantors</t>
  </si>
  <si>
    <t>SOFR + 2.00% to 2.25% under total leverage grid</t>
  </si>
  <si>
    <t>Not publicly disclosed</t>
  </si>
  <si>
    <t>0.45x maximum value-to-loan ratio covenant</t>
  </si>
  <si>
    <t>Amended revolving credit facility; general corporate and acquisition capacity</t>
  </si>
  <si>
    <t>SEC Form 8-K / Credit Agreement</t>
  </si>
  <si>
    <t>Lions Gate Capital Holdings LLC</t>
  </si>
  <si>
    <t>JPMorgan Chase Bank, N.A., as administrative agent; lender syndicate</t>
  </si>
  <si>
    <t>First-priority liens on substantially all assets of the credit parties</t>
  </si>
  <si>
    <t>SOFR + 1.75% to 2.25% depending on leverage</t>
  </si>
  <si>
    <t>Post-Starz separation revolving credit facility</t>
  </si>
  <si>
    <t>SEC Form 10-Q / credit facilities disclosure</t>
  </si>
  <si>
    <t>Sphere Entertainment Co.</t>
  </si>
  <si>
    <t>First-priority lien on substantially all assets of Sphere and subsidiary guarantors</t>
  </si>
  <si>
    <t>SOFR + 2.50% to 2.75% depending on leverage</t>
  </si>
  <si>
    <t>Refinancing of legacy credit facility and transaction costs</t>
  </si>
  <si>
    <t>SEC Form 8-K / Term Loan Facility</t>
  </si>
  <si>
    <t>AMC Networks Inc.</t>
  </si>
  <si>
    <t>Senior secured revolving credit facility</t>
  </si>
  <si>
    <t>Not publicly disclosed in cited summary</t>
  </si>
  <si>
    <t>Replacement revolving credit facility and liquidity</t>
  </si>
  <si>
    <t>Public transactions support first-lien collateral packages and floating-rate pricing, but disclosed terms are not directly comparable to the modeled borrowing-base risk.</t>
  </si>
  <si>
    <t>Risk Matrix</t>
  </si>
  <si>
    <t>Investment question: What can impair repayment, and which mitigants must be embedded in documentation?</t>
  </si>
  <si>
    <t>Risk</t>
  </si>
  <si>
    <t>Probability</t>
  </si>
  <si>
    <t>Impact</t>
  </si>
  <si>
    <t>Mitigation</t>
  </si>
  <si>
    <t>Residual Risk</t>
  </si>
  <si>
    <t>Status</t>
  </si>
  <si>
    <t>Library revenue decay exceeds base case</t>
  </si>
  <si>
    <t>Medium</t>
  </si>
  <si>
    <t>High</t>
  </si>
  <si>
    <t>Conservative advance rate, reappraisals, cash sweep</t>
  </si>
  <si>
    <t>Monitor</t>
  </si>
  <si>
    <t>Platform or distributor concentration</t>
  </si>
  <si>
    <t>Eligibility limits, concentration caps, account control</t>
  </si>
  <si>
    <t>Tax credit timing delay</t>
  </si>
  <si>
    <t>Haircuts, jurisdictional diligence, reserves</t>
  </si>
  <si>
    <t>Low-Medium</t>
  </si>
  <si>
    <t>Pre-sale counterparty default</t>
  </si>
  <si>
    <t>Approved counterparties and lender-controlled notices</t>
  </si>
  <si>
    <t>Floating-rate burden</t>
  </si>
  <si>
    <t>Minimum DSCR, hedging requirement, cash sweep</t>
  </si>
  <si>
    <t>Documentation / chain-of-title deficiency</t>
  </si>
  <si>
    <t>Low</t>
  </si>
  <si>
    <t>Legal diligence, perfection, title representations</t>
  </si>
  <si>
    <t>Critical diligence</t>
  </si>
  <si>
    <t>Valuation volatility and appraisal risk</t>
  </si>
  <si>
    <t>Independent appraisal and borrowing base redetermination</t>
  </si>
  <si>
    <t>The highest-severity risks are revenue decay, valuation volatility, platform concentration, and chain-of-title defects; mitigation depends on controls, not forecast precision.</t>
  </si>
  <si>
    <t>Credit Committee Scorecard</t>
  </si>
  <si>
    <t>Investment question: Does the weighted credit profile justify approval at the proposed structure?</t>
  </si>
  <si>
    <t>Weight</t>
  </si>
  <si>
    <t>Score</t>
  </si>
  <si>
    <t>Weighted Score</t>
  </si>
  <si>
    <t>Rationale</t>
  </si>
  <si>
    <t>Collateral Quality</t>
  </si>
  <si>
    <t>Diversified collateral with modeled haircuts</t>
  </si>
  <si>
    <t>Cash Flow Stability</t>
  </si>
  <si>
    <t>Contractual and long-tail revenues offset decay risk</t>
  </si>
  <si>
    <t>Diversification</t>
  </si>
  <si>
    <t>Multiple channels; counterparty limits required</t>
  </si>
  <si>
    <t>Management</t>
  </si>
  <si>
    <t>Hypothetical; full diligence required</t>
  </si>
  <si>
    <t>Legal Structure</t>
  </si>
  <si>
    <t>First lien, controlled accounts, covenant package</t>
  </si>
  <si>
    <t>Liquidity</t>
  </si>
  <si>
    <t>Borrowing base headroom subject to stress</t>
  </si>
  <si>
    <t>Counterparty Risk</t>
  </si>
  <si>
    <t>Requires approved obligor and concentration framework</t>
  </si>
  <si>
    <t>Market Risk</t>
  </si>
  <si>
    <t>Secular content monetization and rate volatility</t>
  </si>
  <si>
    <t>Overall Score</t>
  </si>
  <si>
    <t>Recovery Analysis</t>
  </si>
  <si>
    <t>Investment question: What principal recovery is expected after liquidation haircuts and timing discounts?</t>
  </si>
  <si>
    <t>Gross Recovery</t>
  </si>
  <si>
    <t>Timing (Years)</t>
  </si>
  <si>
    <t>PV Recovery</t>
  </si>
  <si>
    <t>Library</t>
  </si>
  <si>
    <t>Pre-sales</t>
  </si>
  <si>
    <t>Total PV Recovery</t>
  </si>
  <si>
    <t>Principal Recovery</t>
  </si>
  <si>
    <t>Loss</t>
  </si>
  <si>
    <t>Expected Recovery Timeline</t>
  </si>
  <si>
    <t>Market Data</t>
  </si>
  <si>
    <t>Investment question: Which public market references are verifiable and relevant to underwriting?</t>
  </si>
  <si>
    <t>Publication / As-of Date</t>
  </si>
  <si>
    <t>Citation</t>
  </si>
  <si>
    <t>Global Private Credit AUM</t>
  </si>
  <si>
    <t>International Monetary Fund, Global Financial Stability Report, April 2024</t>
  </si>
  <si>
    <t>IMF GFSR Chapter 2, private credit AUM estimated at about $1.7 trillion</t>
  </si>
  <si>
    <t>2023 market estimate cited by IMF</t>
  </si>
  <si>
    <t>Entertainment Financing Market</t>
  </si>
  <si>
    <t>Not publicly available</t>
  </si>
  <si>
    <t>No reliable public aggregate identified</t>
  </si>
  <si>
    <t>N/A</t>
  </si>
  <si>
    <t>No estimate used</t>
  </si>
  <si>
    <t>Federal Reserve Bank of New York / FRED</t>
  </si>
  <si>
    <t>Secured Overnight Financing Rate series observation: 3.63%</t>
  </si>
  <si>
    <t>pull latest</t>
  </si>
  <si>
    <t>Private Credit Market Size incl. Committed Capital</t>
  </si>
  <si>
    <t>IMF notes assets and committed capital totaling about $2.1 trillion globally</t>
  </si>
  <si>
    <t>Market size, not pure AUM</t>
  </si>
  <si>
    <t>Market references provide context only; transaction approval must rely on deal-specific collateral, contracts, diligence, and covenant protection.</t>
  </si>
  <si>
    <t>Sources &amp; Bibliography</t>
  </si>
  <si>
    <t>Investment question: Can every external figure and precedent be traced to a verifiable source?</t>
  </si>
  <si>
    <t>Organization</t>
  </si>
  <si>
    <t>Publication</t>
  </si>
  <si>
    <t>Author</t>
  </si>
  <si>
    <t>URL</t>
  </si>
  <si>
    <t>Access Date</t>
  </si>
  <si>
    <t>Reference / Notes</t>
  </si>
  <si>
    <t>Global Private Credit AUM and Market Size</t>
  </si>
  <si>
    <t>International Monetary Fund</t>
  </si>
  <si>
    <t>Global Financial Stability Report, April 2024 — Chapter 2</t>
  </si>
  <si>
    <t>International Monetary Fund staff</t>
  </si>
  <si>
    <t>https://www.imf.org/en/publications/gfsr/issues/2024/04/16/global-financial-stability-report-april-2024</t>
  </si>
  <si>
    <t>Private credit AUM about $1.7tn; assets plus committed capital about $2.1tn</t>
  </si>
  <si>
    <t>Federal Reserve Bank of New York / Federal Reserve Bank of St. Louis</t>
  </si>
  <si>
    <t>Secured Overnight Financing Rate (SOFR) series</t>
  </si>
  <si>
    <t>Federal Reserve System</t>
  </si>
  <si>
    <t>https://fred.stlouisfed.org/series/SOFR</t>
  </si>
  <si>
    <t>Observed rate used: 3.63%</t>
  </si>
  <si>
    <t>Reservoir Media Credit Facility</t>
  </si>
  <si>
    <t>U.S. Securities and Exchange Commission</t>
  </si>
  <si>
    <t>Reservoir Media, Inc. Form 8-K and Credit Agreement</t>
  </si>
  <si>
    <t>https://www.sec.gov/Archives/edgar/data/1824403/000119312525057180/d844452dex101.htm</t>
  </si>
  <si>
    <t>$550m revolving facility; SOFR margin; collateral; value-to-loan covenant</t>
  </si>
  <si>
    <t>Lions Gate Credit Facilities</t>
  </si>
  <si>
    <t>Lions Gate Entertainment Corp. Form 10-Q</t>
  </si>
  <si>
    <t>Lions Gate Entertainment Corp.</t>
  </si>
  <si>
    <t>confirm cite</t>
  </si>
  <si>
    <t>$1.25bn revolver; SOFR spread; first-priority collateral</t>
  </si>
  <si>
    <t>Sphere Entertainment Term Loan</t>
  </si>
  <si>
    <t>Sphere 8-K</t>
  </si>
  <si>
    <t>https://www.sec.gov/Archives/edgar/data/1795250/000179525024000191/sphr-20241202.htm</t>
  </si>
  <si>
    <t>$1.4bn term loan; SOFR margin; asset collateral</t>
  </si>
  <si>
    <t>AMC Networks Revolving Credit Facility</t>
  </si>
  <si>
    <t>AMC Networks Inc. Form 8-K</t>
  </si>
  <si>
    <t>https://www.sec.gov/Archives/edgar/data/1514991/000151499123000038/amcx-20231128.htm</t>
  </si>
  <si>
    <t>$400m revolver</t>
  </si>
  <si>
    <t>Only cited public sources are retained; illustrative assumptions remain explicitly labeled and should not be represented as market observations.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</si>
</sst>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General"/>
    <numFmt numFmtId="165" formatCode="$#,##0;[Red]($#,##0);-"/>
    <numFmt numFmtId="166" formatCode="yyyy-mm-dd"/>
    <numFmt numFmtId="167" formatCode="0.00x"/>
    <numFmt numFmtId="168" formatCode="0.0%"/>
    <numFmt numFmtId="169" formatCode="$#,##0"/>
    <numFmt numFmtId="170" formatCode="0.000x"/>
    <numFmt numFmtId="171" formatCode="$#,##0,,&quot;M&quot;;[Red]($#,##0,,&quot;M&quot;);-"/>
    <numFmt numFmtId="172" formatCode="0.0"/>
    <numFmt numFmtId="173" formatCode="$#,##0,,,&quot;B&quot;;[Red]($#,##0,,,&quot;B&quot;);-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</font>
    <font>
      <b/>
      <sz val="15.0"/>
      <color rgb="FFFFFFFF"/>
      <name val="Arial"/>
    </font>
    <font>
      <i/>
      <sz val="10.0"/>
      <color rgb="FF666666"/>
      <name val="Arial"/>
    </font>
    <font>
      <b/>
      <sz val="10.0"/>
      <color rgb="FFFFFFFF"/>
      <name val="Arial"/>
    </font>
    <font>
      <b/>
      <sz val="11.0"/>
      <color rgb="FF000000"/>
      <name val="Arial"/>
    </font>
    <font>
      <b/>
      <sz val="18.0"/>
      <color rgb="FFFFFFFF"/>
      <name val="Arial"/>
    </font>
    <font>
      <b/>
      <sz val="10.0"/>
      <color rgb="FF008000"/>
      <name val="Arial"/>
    </font>
    <font>
      <b/>
      <sz val="13.0"/>
      <color rgb="FF9C6500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10.0"/>
      <color rgb="FF0070C0"/>
      <name val="Arial"/>
    </font>
    <font>
      <b/>
      <sz val="10.0"/>
      <color rgb="FF000000"/>
      <name val="Arial"/>
    </font>
    <font>
      <sz val="13.0"/>
      <color rgb="FF666666"/>
      <name val="Arial"/>
    </font>
    <font>
      <b/>
      <sz val="12.0"/>
      <color rgb="FF000000"/>
      <name val="Arial"/>
    </font>
    <font>
      <sz val="10.0"/>
      <color rgb="FF222222"/>
      <name val="Arial"/>
    </font>
    <font>
      <i/>
      <sz val="10.0"/>
      <color rgb="FF222222"/>
      <name val="Arial"/>
    </font>
    <font>
      <sz val="11.0"/>
      <color rgb="FF333333"/>
      <name val="Arial"/>
    </font>
    <font>
      <b/>
      <sz val="10.0"/>
      <color rgb="FF1F2A44"/>
      <name val="Arial"/>
    </font>
    <font>
      <b/>
      <sz val="11.0"/>
      <color rgb="FF9C6500"/>
      <name val="Arial"/>
    </font>
    <font>
      <b/>
      <sz val="10.0"/>
      <color rgb="FF4B5563"/>
      <name val="Arial"/>
    </font>
    <font>
      <sz val="10.0"/>
      <color rgb="FF2F343B"/>
      <name val="Arial"/>
    </font>
    <font>
      <b/>
      <sz val="10.0"/>
      <color rgb="FF9C6500"/>
      <name val="Arial"/>
    </font>
    <font>
      <b/>
      <sz val="10.0"/>
      <color rgb="FFC00000"/>
      <name val="Arial"/>
    </font>
    <font>
      <sz val="9.0"/>
      <color rgb="FF000000"/>
      <name val="Arial"/>
    </font>
    <font>
      <i/>
      <sz val="9.0"/>
      <color rgb="FF666666"/>
      <name val="Arial"/>
    </font>
    <font>
      <sz val="10.0"/>
      <color rgb="FF008000"/>
      <name val="Arial"/>
    </font>
    <font>
      <i/>
      <sz val="10.0"/>
      <color rgb="FF000000"/>
      <name val="Arial"/>
    </font>
    <font>
      <b/>
      <sz val="10.0"/>
      <color rgb="FF1F1F1F"/>
      <name val="Arial"/>
    </font>
    <font>
      <i/>
      <sz val="9.0"/>
      <color rgb="FFC00000"/>
      <name val="Arial"/>
    </font>
    <font>
      <b/>
      <sz val="10.0"/>
      <color rgb="FF20352F"/>
      <name val="Arial"/>
    </font>
    <font>
      <u/>
      <sz val="9.0"/>
      <color rgb="FF008000"/>
      <name val="Arial"/>
    </font>
    <font>
      <u/>
      <sz val="9.0"/>
      <color rgb="FF008000"/>
      <name val="Arial"/>
    </font>
    <font>
      <b/>
      <sz val="10.0"/>
      <color rgb="FF2F3742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D2330"/>
        <bgColor rgb="FF1D2330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  <fill>
      <patternFill patternType="solid">
        <fgColor rgb="FFE2E3E5"/>
        <bgColor rgb="FFE2E3E5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4CCCC"/>
        <bgColor rgb="FFF4CCCC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4472C4"/>
        <bgColor rgb="FF4472C4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3F6F62"/>
        <bgColor rgb="FF3F6F62"/>
      </patternFill>
    </fill>
    <fill>
      <patternFill patternType="solid">
        <fgColor rgb="FFDDEBE7"/>
        <bgColor rgb="FFDDEBE7"/>
      </patternFill>
    </fill>
    <fill>
      <patternFill patternType="solid">
        <fgColor rgb="FF5B6573"/>
        <bgColor rgb="FF5B6573"/>
      </patternFill>
    </fill>
    <fill>
      <patternFill patternType="solid">
        <fgColor rgb="FFE5E7EB"/>
        <bgColor rgb="FFE5E7EB"/>
      </patternFill>
    </fill>
  </fills>
  <borders count="76">
    <border/>
    <border>
      <bottom style="thin">
        <color rgb="FF1D2330"/>
      </bottom>
    </border>
    <border>
      <left style="thin">
        <color rgb="FFA6A6A6"/>
      </left>
      <top style="thin">
        <color rgb="FFA6A6A6"/>
      </top>
    </border>
    <border>
      <left style="thin">
        <color rgb="FFBF9000"/>
      </left>
      <top style="thin">
        <color rgb="FFBF9000"/>
      </top>
      <bottom style="thin">
        <color rgb="FF1D2330"/>
      </bottom>
    </border>
    <border>
      <left style="thin">
        <color rgb="FF9C6500"/>
      </left>
      <right style="thin">
        <color rgb="FF9C6500"/>
      </right>
      <top style="thin">
        <color rgb="FF9C6500"/>
      </top>
      <bottom style="thin">
        <color rgb="FF9C6500"/>
      </bottom>
    </border>
    <border>
      <top style="thin">
        <color rgb="FFBF9000"/>
      </top>
      <bottom style="thin">
        <color rgb="FF1D2330"/>
      </bottom>
    </border>
    <border>
      <right style="thin">
        <color rgb="FFBF9000"/>
      </right>
      <top style="thin">
        <color rgb="FFBF9000"/>
      </top>
      <bottom style="thin">
        <color rgb="FF1D2330"/>
      </bottom>
    </border>
    <border>
      <left style="thin">
        <color rgb="FFA6A6A6"/>
      </left>
    </border>
    <border>
      <right style="thin">
        <color rgb="FFA6A6A6"/>
      </right>
    </border>
    <border>
      <top style="thin">
        <color rgb="FF4472C4"/>
      </top>
    </border>
    <border>
      <left style="thin">
        <color rgb="FF1D2330"/>
      </left>
      <right style="thin">
        <color rgb="FF1D2330"/>
      </right>
      <top style="thin">
        <color rgb="FF1D2330"/>
      </top>
    </border>
    <border>
      <left style="thin">
        <color rgb="FF1D2330"/>
      </left>
      <top style="thin">
        <color rgb="FF1D2330"/>
      </top>
    </border>
    <border>
      <left style="thin">
        <color rgb="FFBF9000"/>
      </left>
    </border>
    <border>
      <left style="thin">
        <color rgb="FF44546A"/>
      </left>
      <top style="thin">
        <color rgb="FF44546A"/>
      </top>
      <bottom style="thin">
        <color rgb="FF44546A"/>
      </bottom>
    </border>
    <border>
      <bottom style="thin">
        <color rgb="FF1F2A44"/>
      </bottom>
    </border>
    <border>
      <right style="thin">
        <color rgb="FF44546A"/>
      </right>
      <top style="thin">
        <color rgb="FF44546A"/>
      </top>
      <bottom style="thin">
        <color rgb="FF44546A"/>
      </bottom>
    </border>
    <border>
      <left style="thin">
        <color rgb="FFA6A6A6"/>
      </left>
      <bottom style="thin">
        <color rgb="FFA6A6A6"/>
      </bottom>
    </border>
    <border>
      <right style="thin">
        <color rgb="FFBF9000"/>
      </right>
    </border>
    <border>
      <right style="thin">
        <color rgb="FFA6A6A6"/>
      </right>
      <bottom style="thin">
        <color rgb="FFA6A6A6"/>
      </bottom>
    </border>
    <border>
      <left style="thin">
        <color rgb="FF1D2330"/>
      </left>
      <right style="thin">
        <color rgb="FF1D2330"/>
      </right>
    </border>
    <border>
      <left style="thin">
        <color rgb="FF1D2330"/>
      </left>
    </border>
    <border>
      <left style="thin">
        <color rgb="FFC7CDD4"/>
      </left>
      <top style="thin">
        <color rgb="FFC7CDD4"/>
      </top>
    </border>
    <border>
      <right style="thin">
        <color rgb="FFC7CDD4"/>
      </right>
      <top style="thin">
        <color rgb="FFC7CDD4"/>
      </top>
    </border>
    <border>
      <left style="thin">
        <color rgb="FF1D2330"/>
      </left>
      <right style="thin">
        <color rgb="FF1D2330"/>
      </right>
      <bottom style="thin">
        <color rgb="FF1D2330"/>
      </bottom>
    </border>
    <border>
      <left style="thin">
        <color rgb="FFBF9000"/>
      </left>
      <right style="thin">
        <color rgb="FFBF9000"/>
      </right>
      <top style="thin">
        <color rgb="FFBF9000"/>
      </top>
    </border>
    <border>
      <left style="thin">
        <color rgb="FFD5D9DE"/>
      </left>
      <right style="thin">
        <color rgb="FFD5D9DE"/>
      </right>
      <top style="thin">
        <color rgb="FFD5D9DE"/>
      </top>
    </border>
    <border>
      <left style="thin">
        <color rgb="FFD5D9DE"/>
      </left>
      <right style="thin">
        <color rgb="FFD5D9DE"/>
      </right>
      <top style="thin">
        <color rgb="FFD5D9DE"/>
      </top>
      <bottom style="thin">
        <color rgb="FFD5D9DE"/>
      </bottom>
    </border>
    <border>
      <left style="thin">
        <color rgb="FFD5D9DE"/>
      </left>
      <right style="thin">
        <color rgb="FFD5D9DE"/>
      </right>
    </border>
    <border>
      <right style="thin">
        <color rgb="FFD5D9DE"/>
      </right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bottom style="thin">
        <color rgb="FFD9D9D9"/>
      </bottom>
    </border>
    <border>
      <left style="thin">
        <color rgb="FFBF9000"/>
      </left>
      <bottom style="thin">
        <color rgb="FFBF9000"/>
      </bottom>
    </border>
    <border>
      <bottom style="thin">
        <color rgb="FFBF9000"/>
      </bottom>
    </border>
    <border>
      <right style="thin">
        <color rgb="FFBF9000"/>
      </right>
      <bottom style="thin">
        <color rgb="FFBF9000"/>
      </bottom>
    </border>
    <border>
      <left style="thin">
        <color rgb="FFD5D9DE"/>
      </left>
      <right style="thin">
        <color rgb="FFD5D9DE"/>
      </right>
      <bottom style="thin">
        <color rgb="FFD5D9DE"/>
      </bottom>
    </border>
    <border>
      <right style="thin">
        <color rgb="FFD5D9DE"/>
      </right>
      <bottom style="thin">
        <color rgb="FFD5D9DE"/>
      </bottom>
    </border>
    <border>
      <bottom style="thin">
        <color rgb="FF000000"/>
      </bottom>
    </border>
    <border>
      <bottom style="thin">
        <color rgb="FF808080"/>
      </bottom>
    </border>
    <border>
      <left style="thin">
        <color rgb="FF70AD47"/>
      </left>
      <right style="thin">
        <color rgb="FF70AD47"/>
      </right>
      <top style="thin">
        <color rgb="FF70AD47"/>
      </top>
    </border>
    <border>
      <left style="thin">
        <color rgb="FF70AD47"/>
      </left>
      <right style="thin">
        <color rgb="FF70AD47"/>
      </right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</border>
    <border>
      <top style="thin">
        <color rgb="FF44546A"/>
      </top>
      <bottom style="thin">
        <color rgb="FF44546A"/>
      </bottom>
    </border>
    <border>
      <bottom style="thin">
        <color rgb="FFA6A6A6"/>
      </bottom>
    </border>
    <border>
      <top style="thin">
        <color rgb="FF70AD47"/>
      </top>
      <bottom style="thin">
        <color rgb="FF70AD47"/>
      </bottom>
    </border>
    <border>
      <top style="thin">
        <color rgb="FF808080"/>
      </top>
    </border>
    <border>
      <top style="thin">
        <color rgb="FF808080"/>
      </top>
      <bottom style="thin">
        <color rgb="FF808080"/>
      </bottom>
    </border>
    <border>
      <bottom style="double">
        <color rgb="FF000000"/>
      </bottom>
    </border>
    <border>
      <top style="double">
        <color rgb="FF1D2330"/>
      </top>
      <bottom style="double">
        <color rgb="FF1D2330"/>
      </bottom>
    </border>
    <border>
      <left style="thin">
        <color rgb="FF70AD47"/>
      </left>
      <top style="thin">
        <color rgb="FF70AD47"/>
      </top>
    </border>
    <border>
      <right style="thin">
        <color rgb="FF70AD47"/>
      </right>
      <top style="thin">
        <color rgb="FF70AD47"/>
      </top>
    </border>
    <border>
      <left style="thin">
        <color rgb="FF70AD47"/>
      </left>
    </border>
    <border>
      <right style="thin">
        <color rgb="FF70AD47"/>
      </right>
      <bottom style="double">
        <color rgb="FF000000"/>
      </bottom>
    </border>
    <border>
      <right style="thin">
        <color rgb="FF70AD47"/>
      </right>
    </border>
    <border>
      <left style="thin">
        <color rgb="FF70AD47"/>
      </left>
      <bottom style="thin">
        <color rgb="FF70AD47"/>
      </bottom>
    </border>
    <border>
      <right style="thin">
        <color rgb="FF70AD47"/>
      </right>
      <bottom style="thin">
        <color rgb="FF70AD47"/>
      </bottom>
    </border>
    <border>
      <top style="thin">
        <color rgb="FFBF9000"/>
      </top>
    </border>
    <border>
      <left style="thin">
        <color rgb="FFC00000"/>
      </left>
      <right style="thin">
        <color rgb="FFC00000"/>
      </right>
      <top style="thin">
        <color rgb="FFC00000"/>
      </top>
    </border>
    <border>
      <bottom style="double">
        <color rgb="FFC00000"/>
      </bottom>
    </border>
    <border>
      <bottom style="thin">
        <color rgb="FF17365D"/>
      </bottom>
    </border>
    <border>
      <left style="thin">
        <color rgb="FF44546A"/>
      </left>
      <top style="thin">
        <color rgb="FF1F4E78"/>
      </top>
      <bottom style="thin">
        <color rgb="FF44546A"/>
      </bottom>
    </border>
    <border>
      <top style="thin">
        <color rgb="FF1F4E78"/>
      </top>
      <bottom style="thin">
        <color rgb="FF44546A"/>
      </bottom>
    </border>
    <border>
      <right style="thin">
        <color rgb="FF44546A"/>
      </right>
      <top style="thin">
        <color rgb="FF1F4E78"/>
      </top>
      <bottom style="thin">
        <color rgb="FF44546A"/>
      </bottom>
    </border>
    <border>
      <top style="thin">
        <color rgb="FFC00000"/>
      </top>
      <bottom style="thin">
        <color rgb="FFC00000"/>
      </bottom>
    </border>
    <border>
      <left style="thin">
        <color rgb="FFBF9000"/>
      </left>
      <top style="thin">
        <color rgb="FFBF9000"/>
      </top>
    </border>
    <border>
      <right style="thin">
        <color rgb="FFBF9000"/>
      </right>
      <top style="thin">
        <color rgb="FFBF9000"/>
      </top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bottom style="thin">
        <color rgb="FF70AD47"/>
      </bottom>
    </border>
    <border>
      <bottom style="thin">
        <color rgb="FF294C43"/>
      </bottom>
    </border>
    <border>
      <left style="thin">
        <color rgb="FF44546A"/>
      </left>
      <top style="thin">
        <color rgb="FF3F6F62"/>
      </top>
      <bottom style="thin">
        <color rgb="FF44546A"/>
      </bottom>
    </border>
    <border>
      <top style="thin">
        <color rgb="FF3F6F62"/>
      </top>
      <bottom style="thin">
        <color rgb="FF44546A"/>
      </bottom>
    </border>
    <border>
      <right style="thin">
        <color rgb="FF44546A"/>
      </right>
      <top style="thin">
        <color rgb="FF3F6F62"/>
      </top>
      <bottom style="thin">
        <color rgb="FF44546A"/>
      </bottom>
    </border>
    <border>
      <bottom style="thin">
        <color rgb="FF3D4650"/>
      </bottom>
    </border>
    <border>
      <left style="thin">
        <color rgb="FF44546A"/>
      </left>
      <top style="double">
        <color rgb="FF5B6573"/>
      </top>
      <bottom style="thin">
        <color rgb="FF44546A"/>
      </bottom>
    </border>
    <border>
      <top style="double">
        <color rgb="FF5B6573"/>
      </top>
      <bottom style="thin">
        <color rgb="FF44546A"/>
      </bottom>
    </border>
    <border>
      <right style="thin">
        <color rgb="FF44546A"/>
      </right>
      <top style="double">
        <color rgb="FF5B6573"/>
      </top>
      <bottom style="thin">
        <color rgb="FF44546A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164" xfId="0" applyAlignment="1" applyBorder="1" applyFill="1" applyFont="1" applyNumberFormat="1">
      <alignment horizontal="left" readingOrder="0"/>
    </xf>
    <xf borderId="1" fillId="2" fontId="3" numFmtId="164" xfId="0" applyAlignment="1" applyBorder="1" applyFont="1" applyNumberFormat="1">
      <alignment horizontal="left" readingOrder="0"/>
    </xf>
    <xf borderId="1" fillId="2" fontId="2" numFmtId="164" xfId="0" applyAlignment="1" applyBorder="1" applyFont="1" applyNumberFormat="1">
      <alignment horizontal="left"/>
    </xf>
    <xf borderId="1" fillId="2" fontId="3" numFmtId="164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  <xf borderId="1" fillId="2" fontId="3" numFmtId="164" xfId="0" applyAlignment="1" applyBorder="1" applyFont="1" applyNumberFormat="1">
      <alignment horizontal="left"/>
    </xf>
    <xf borderId="0" fillId="3" fontId="4" numFmtId="164" xfId="0" applyAlignment="1" applyFill="1" applyFont="1" applyNumberFormat="1">
      <alignment horizontal="left" readingOrder="0"/>
    </xf>
    <xf borderId="0" fillId="3" fontId="4" numFmtId="164" xfId="0" applyAlignment="1" applyFont="1" applyNumberFormat="1">
      <alignment horizontal="left"/>
    </xf>
    <xf borderId="0" fillId="3" fontId="4" numFmtId="164" xfId="0" applyAlignment="1" applyFont="1" applyNumberFormat="1">
      <alignment horizontal="center"/>
    </xf>
    <xf borderId="1" fillId="4" fontId="5" numFmtId="164" xfId="0" applyAlignment="1" applyBorder="1" applyFill="1" applyFont="1" applyNumberFormat="1">
      <alignment horizontal="center" readingOrder="0"/>
    </xf>
    <xf borderId="0" fillId="0" fontId="1" numFmtId="0" xfId="0" applyAlignment="1" applyFont="1">
      <alignment readingOrder="0"/>
    </xf>
    <xf borderId="2" fillId="5" fontId="6" numFmtId="164" xfId="0" applyAlignment="1" applyBorder="1" applyFill="1" applyFont="1" applyNumberFormat="1">
      <alignment horizontal="left" readingOrder="0"/>
    </xf>
    <xf borderId="0" fillId="2" fontId="7" numFmtId="164" xfId="0" applyAlignment="1" applyFont="1" applyNumberFormat="1">
      <alignment horizontal="left"/>
    </xf>
    <xf borderId="1" fillId="4" fontId="5" numFmtId="164" xfId="0" applyAlignment="1" applyBorder="1" applyFont="1" applyNumberFormat="1">
      <alignment horizontal="center"/>
    </xf>
    <xf borderId="0" fillId="2" fontId="7" numFmtId="164" xfId="0" applyAlignment="1" applyFont="1" applyNumberFormat="1">
      <alignment horizontal="left" readingOrder="0"/>
    </xf>
    <xf borderId="0" fillId="6" fontId="8" numFmtId="165" xfId="0" applyAlignment="1" applyFill="1" applyFont="1" applyNumberFormat="1">
      <alignment horizontal="center"/>
    </xf>
    <xf borderId="3" fillId="4" fontId="5" numFmtId="164" xfId="0" applyAlignment="1" applyBorder="1" applyFont="1" applyNumberFormat="1">
      <alignment horizontal="center" readingOrder="0"/>
    </xf>
    <xf borderId="4" fillId="7" fontId="9" numFmtId="164" xfId="0" applyAlignment="1" applyBorder="1" applyFill="1" applyFont="1" applyNumberFormat="1">
      <alignment horizontal="left"/>
    </xf>
    <xf borderId="5" fillId="4" fontId="5" numFmtId="164" xfId="0" applyAlignment="1" applyBorder="1" applyFont="1" applyNumberFormat="1">
      <alignment horizontal="center"/>
    </xf>
    <xf borderId="1" fillId="2" fontId="10" numFmtId="164" xfId="0" applyAlignment="1" applyBorder="1" applyFont="1" applyNumberFormat="1">
      <alignment horizontal="center" readingOrder="0"/>
    </xf>
    <xf borderId="0" fillId="6" fontId="8" numFmtId="1" xfId="0" applyAlignment="1" applyFont="1" applyNumberFormat="1">
      <alignment horizontal="center"/>
    </xf>
    <xf borderId="6" fillId="4" fontId="5" numFmtId="164" xfId="0" applyAlignment="1" applyBorder="1" applyFont="1" applyNumberFormat="1">
      <alignment horizontal="center"/>
    </xf>
    <xf borderId="1" fillId="2" fontId="10" numFmtId="164" xfId="0" applyAlignment="1" applyBorder="1" applyFont="1" applyNumberFormat="1">
      <alignment horizontal="center"/>
    </xf>
    <xf borderId="1" fillId="2" fontId="10" numFmtId="164" xfId="0" applyAlignment="1" applyBorder="1" applyFont="1" applyNumberFormat="1">
      <alignment horizontal="left" readingOrder="0"/>
    </xf>
    <xf borderId="1" fillId="2" fontId="10" numFmtId="164" xfId="0" applyAlignment="1" applyBorder="1" applyFont="1" applyNumberFormat="1">
      <alignment horizontal="left"/>
    </xf>
    <xf borderId="0" fillId="0" fontId="1" numFmtId="0" xfId="0" applyFont="1"/>
    <xf borderId="7" fillId="5" fontId="6" numFmtId="164" xfId="0" applyAlignment="1" applyBorder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8" fillId="5" fontId="6" numFmtId="164" xfId="0" applyAlignment="1" applyBorder="1" applyFont="1" applyNumberFormat="1">
      <alignment horizontal="left"/>
    </xf>
    <xf borderId="0" fillId="3" fontId="11" numFmtId="164" xfId="0" applyAlignment="1" applyFont="1" applyNumberFormat="1">
      <alignment horizontal="center" readingOrder="0"/>
    </xf>
    <xf borderId="0" fillId="7" fontId="12" numFmtId="166" xfId="0" applyAlignment="1" applyFont="1" applyNumberFormat="1">
      <alignment horizontal="center" readingOrder="0"/>
    </xf>
    <xf borderId="9" fillId="8" fontId="13" numFmtId="164" xfId="0" applyAlignment="1" applyBorder="1" applyFill="1" applyFont="1" applyNumberFormat="1">
      <alignment horizontal="left" readingOrder="0"/>
    </xf>
    <xf borderId="0" fillId="0" fontId="1" numFmtId="0" xfId="0" applyAlignment="1" applyFont="1">
      <alignment horizontal="right"/>
    </xf>
    <xf borderId="0" fillId="3" fontId="13" numFmtId="165" xfId="0" applyAlignment="1" applyFont="1" applyNumberFormat="1">
      <alignment horizontal="center"/>
    </xf>
    <xf borderId="0" fillId="0" fontId="14" numFmtId="0" xfId="0" applyAlignment="1" applyFont="1">
      <alignment horizontal="left" readingOrder="0"/>
    </xf>
    <xf borderId="0" fillId="3" fontId="11" numFmtId="164" xfId="0" applyAlignment="1" applyFont="1" applyNumberFormat="1">
      <alignment horizontal="left" readingOrder="0"/>
    </xf>
    <xf borderId="10" fillId="3" fontId="15" numFmtId="165" xfId="0" applyAlignment="1" applyBorder="1" applyFont="1" applyNumberFormat="1">
      <alignment horizontal="center"/>
    </xf>
    <xf borderId="0" fillId="3" fontId="11" numFmtId="164" xfId="0" applyAlignment="1" applyFont="1" applyNumberFormat="1">
      <alignment horizontal="left"/>
    </xf>
    <xf borderId="11" fillId="3" fontId="15" numFmtId="167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readingOrder="0"/>
    </xf>
    <xf borderId="8" fillId="5" fontId="6" numFmtId="2" xfId="0" applyAlignment="1" applyBorder="1" applyFont="1" applyNumberFormat="1">
      <alignment horizontal="left"/>
    </xf>
    <xf borderId="9" fillId="8" fontId="13" numFmtId="164" xfId="0" applyAlignment="1" applyBorder="1" applyFont="1" applyNumberFormat="1">
      <alignment horizontal="left"/>
    </xf>
    <xf borderId="13" fillId="4" fontId="5" numFmtId="164" xfId="0" applyAlignment="1" applyBorder="1" applyFont="1" applyNumberFormat="1">
      <alignment horizontal="left" readingOrder="0"/>
    </xf>
    <xf borderId="0" fillId="7" fontId="13" numFmtId="167" xfId="0" applyAlignment="1" applyFont="1" applyNumberFormat="1">
      <alignment horizontal="center"/>
    </xf>
    <xf borderId="14" fillId="3" fontId="16" numFmtId="164" xfId="0" applyAlignment="1" applyBorder="1" applyFont="1" applyNumberFormat="1">
      <alignment horizontal="center"/>
    </xf>
    <xf borderId="15" fillId="4" fontId="5" numFmtId="164" xfId="0" applyAlignment="1" applyBorder="1" applyFont="1" applyNumberFormat="1">
      <alignment horizontal="left"/>
    </xf>
    <xf borderId="14" fillId="3" fontId="16" numFmtId="164" xfId="0" applyAlignment="1" applyBorder="1" applyFont="1" applyNumberFormat="1">
      <alignment horizontal="left"/>
    </xf>
    <xf borderId="16" fillId="5" fontId="6" numFmtId="164" xfId="0" applyAlignment="1" applyBorder="1" applyFont="1" applyNumberFormat="1">
      <alignment horizontal="left" readingOrder="0"/>
    </xf>
    <xf borderId="17" fillId="7" fontId="11" numFmtId="164" xfId="0" applyAlignment="1" applyBorder="1" applyFont="1" applyNumberFormat="1">
      <alignment horizontal="center"/>
    </xf>
    <xf borderId="16" fillId="7" fontId="17" numFmtId="164" xfId="0" applyAlignment="1" applyBorder="1" applyFont="1" applyNumberFormat="1">
      <alignment horizontal="left"/>
    </xf>
    <xf borderId="18" fillId="7" fontId="17" numFmtId="164" xfId="0" applyAlignment="1" applyBorder="1" applyFont="1" applyNumberFormat="1">
      <alignment horizontal="left"/>
    </xf>
    <xf borderId="19" fillId="3" fontId="15" numFmtId="165" xfId="0" applyAlignment="1" applyBorder="1" applyFont="1" applyNumberFormat="1">
      <alignment horizontal="center"/>
    </xf>
    <xf borderId="18" fillId="5" fontId="6" numFmtId="164" xfId="0" applyAlignment="1" applyBorder="1" applyFont="1" applyNumberFormat="1">
      <alignment horizontal="left"/>
    </xf>
    <xf borderId="20" fillId="3" fontId="15" numFmtId="167" xfId="0" applyAlignment="1" applyBorder="1" applyFont="1" applyNumberFormat="1">
      <alignment horizontal="center"/>
    </xf>
    <xf borderId="0" fillId="3" fontId="13" numFmtId="167" xfId="0" applyAlignment="1" applyFont="1" applyNumberFormat="1">
      <alignment horizontal="center"/>
    </xf>
    <xf borderId="0" fillId="3" fontId="18" numFmtId="164" xfId="0" applyAlignment="1" applyFont="1" applyNumberFormat="1">
      <alignment horizontal="left" readingOrder="0"/>
    </xf>
    <xf borderId="0" fillId="7" fontId="13" numFmtId="168" xfId="0" applyAlignment="1" applyFont="1" applyNumberFormat="1">
      <alignment horizontal="center"/>
    </xf>
    <xf borderId="10" fillId="3" fontId="15" numFmtId="167" xfId="0" applyAlignment="1" applyBorder="1" applyFont="1" applyNumberFormat="1">
      <alignment horizontal="center"/>
    </xf>
    <xf borderId="11" fillId="3" fontId="15" numFmtId="168" xfId="0" applyAlignment="1" applyBorder="1" applyFont="1" applyNumberFormat="1">
      <alignment horizontal="center"/>
    </xf>
    <xf borderId="0" fillId="3" fontId="13" numFmtId="168" xfId="0" applyAlignment="1" applyFont="1" applyNumberFormat="1">
      <alignment horizontal="center"/>
    </xf>
    <xf borderId="10" fillId="3" fontId="15" numFmtId="168" xfId="0" applyAlignment="1" applyBorder="1" applyFont="1" applyNumberFormat="1">
      <alignment horizontal="center"/>
    </xf>
    <xf borderId="1" fillId="3" fontId="13" numFmtId="167" xfId="0" applyAlignment="1" applyBorder="1" applyFont="1" applyNumberFormat="1">
      <alignment horizontal="center"/>
    </xf>
    <xf borderId="20" fillId="3" fontId="15" numFmtId="168" xfId="0" applyAlignment="1" applyBorder="1" applyFont="1" applyNumberFormat="1">
      <alignment horizontal="center"/>
    </xf>
    <xf borderId="21" fillId="2" fontId="5" numFmtId="164" xfId="0" applyAlignment="1" applyBorder="1" applyFont="1" applyNumberFormat="1">
      <alignment horizontal="center" readingOrder="0"/>
    </xf>
    <xf borderId="22" fillId="2" fontId="19" numFmtId="164" xfId="0" applyAlignment="1" applyBorder="1" applyFont="1" applyNumberFormat="1">
      <alignment horizontal="left"/>
    </xf>
    <xf borderId="23" fillId="3" fontId="15" numFmtId="168" xfId="0" applyAlignment="1" applyBorder="1" applyFont="1" applyNumberFormat="1">
      <alignment horizontal="center"/>
    </xf>
    <xf borderId="24" fillId="7" fontId="20" numFmtId="164" xfId="0" applyAlignment="1" applyBorder="1" applyFont="1" applyNumberFormat="1">
      <alignment horizontal="center"/>
    </xf>
    <xf borderId="0" fillId="2" fontId="10" numFmtId="164" xfId="0" applyAlignment="1" applyFont="1" applyNumberFormat="1">
      <alignment horizontal="left" readingOrder="0"/>
    </xf>
    <xf borderId="0" fillId="2" fontId="10" numFmtId="164" xfId="0" applyAlignment="1" applyFont="1" applyNumberFormat="1">
      <alignment horizontal="left"/>
    </xf>
    <xf borderId="25" fillId="3" fontId="21" numFmtId="164" xfId="0" applyAlignment="1" applyBorder="1" applyFont="1" applyNumberFormat="1">
      <alignment horizontal="center" readingOrder="0"/>
    </xf>
    <xf borderId="0" fillId="2" fontId="10" numFmtId="164" xfId="0" applyAlignment="1" applyFont="1" applyNumberFormat="1">
      <alignment horizontal="center" readingOrder="0"/>
    </xf>
    <xf borderId="26" fillId="3" fontId="22" numFmtId="169" xfId="0" applyAlignment="1" applyBorder="1" applyFont="1" applyNumberFormat="1">
      <alignment horizontal="left" readingOrder="0"/>
    </xf>
    <xf borderId="27" fillId="3" fontId="21" numFmtId="164" xfId="0" applyAlignment="1" applyBorder="1" applyFont="1" applyNumberFormat="1">
      <alignment horizontal="center" readingOrder="0"/>
    </xf>
    <xf borderId="28" fillId="3" fontId="22" numFmtId="164" xfId="0" applyAlignment="1" applyBorder="1" applyFont="1" applyNumberFormat="1">
      <alignment horizontal="left" readingOrder="0"/>
    </xf>
    <xf borderId="23" fillId="3" fontId="15" numFmtId="165" xfId="0" applyAlignment="1" applyBorder="1" applyFont="1" applyNumberFormat="1">
      <alignment horizontal="center"/>
    </xf>
    <xf borderId="29" fillId="7" fontId="23" numFmtId="164" xfId="0" applyAlignment="1" applyBorder="1" applyFont="1" applyNumberFormat="1">
      <alignment horizontal="center"/>
    </xf>
    <xf borderId="30" fillId="3" fontId="11" numFmtId="164" xfId="0" applyAlignment="1" applyBorder="1" applyFont="1" applyNumberFormat="1">
      <alignment horizontal="center" readingOrder="0"/>
    </xf>
    <xf borderId="31" fillId="7" fontId="11" numFmtId="164" xfId="0" applyAlignment="1" applyBorder="1" applyFont="1" applyNumberFormat="1">
      <alignment horizontal="center" readingOrder="0"/>
    </xf>
    <xf borderId="26" fillId="3" fontId="19" numFmtId="164" xfId="0" applyAlignment="1" applyBorder="1" applyFont="1" applyNumberFormat="1">
      <alignment horizontal="left" readingOrder="0"/>
    </xf>
    <xf borderId="30" fillId="9" fontId="24" numFmtId="165" xfId="0" applyAlignment="1" applyBorder="1" applyFill="1" applyFont="1" applyNumberFormat="1">
      <alignment horizontal="center"/>
    </xf>
    <xf borderId="32" fillId="7" fontId="13" numFmtId="167" xfId="0" applyAlignment="1" applyBorder="1" applyFont="1" applyNumberFormat="1">
      <alignment horizontal="center"/>
    </xf>
    <xf borderId="33" fillId="7" fontId="11" numFmtId="164" xfId="0" applyAlignment="1" applyBorder="1" applyFont="1" applyNumberFormat="1">
      <alignment horizontal="center"/>
    </xf>
    <xf borderId="34" fillId="3" fontId="21" numFmtId="164" xfId="0" applyAlignment="1" applyBorder="1" applyFont="1" applyNumberFormat="1">
      <alignment horizontal="center" readingOrder="0"/>
    </xf>
    <xf borderId="35" fillId="3" fontId="22" numFmtId="164" xfId="0" applyAlignment="1" applyBorder="1" applyFont="1" applyNumberFormat="1">
      <alignment horizontal="left" readingOrder="0"/>
    </xf>
    <xf borderId="0" fillId="6" fontId="6" numFmtId="167" xfId="0" applyAlignment="1" applyFont="1" applyNumberFormat="1">
      <alignment horizontal="center"/>
    </xf>
    <xf borderId="0" fillId="8" fontId="13" numFmtId="164" xfId="0" applyAlignment="1" applyFont="1" applyNumberFormat="1">
      <alignment horizontal="center" readingOrder="0"/>
    </xf>
    <xf borderId="0" fillId="2" fontId="10" numFmtId="164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3" fontId="12" numFmtId="168" xfId="0" applyAlignment="1" applyFont="1" applyNumberFormat="1">
      <alignment horizontal="center" readingOrder="0"/>
    </xf>
    <xf borderId="0" fillId="3" fontId="25" numFmtId="166" xfId="0" applyAlignment="1" applyFont="1" applyNumberFormat="1">
      <alignment horizontal="center" readingOrder="0"/>
    </xf>
    <xf borderId="0" fillId="0" fontId="26" numFmtId="0" xfId="0" applyAlignment="1" applyFont="1">
      <alignment horizontal="left" readingOrder="0"/>
    </xf>
    <xf borderId="36" fillId="2" fontId="10" numFmtId="164" xfId="0" applyAlignment="1" applyBorder="1" applyFont="1" applyNumberFormat="1">
      <alignment horizontal="center" readingOrder="0"/>
    </xf>
    <xf borderId="36" fillId="2" fontId="10" numFmtId="164" xfId="0" applyAlignment="1" applyBorder="1" applyFont="1" applyNumberFormat="1">
      <alignment horizontal="center"/>
    </xf>
    <xf borderId="9" fillId="8" fontId="13" numFmtId="164" xfId="0" applyAlignment="1" applyBorder="1" applyFont="1" applyNumberFormat="1">
      <alignment horizontal="center" readingOrder="0"/>
    </xf>
    <xf borderId="0" fillId="10" fontId="13" numFmtId="164" xfId="0" applyAlignment="1" applyFill="1" applyFont="1" applyNumberFormat="1">
      <alignment horizontal="left" readingOrder="0"/>
    </xf>
    <xf borderId="9" fillId="3" fontId="12" numFmtId="165" xfId="0" applyAlignment="1" applyBorder="1" applyFont="1" applyNumberFormat="1">
      <alignment horizontal="center" readingOrder="0"/>
    </xf>
    <xf borderId="9" fillId="3" fontId="25" numFmtId="166" xfId="0" applyAlignment="1" applyBorder="1" applyFont="1" applyNumberFormat="1">
      <alignment horizontal="center" readingOrder="0"/>
    </xf>
    <xf borderId="37" fillId="5" fontId="13" numFmtId="164" xfId="0" applyAlignment="1" applyBorder="1" applyFont="1" applyNumberFormat="1">
      <alignment horizontal="center" readingOrder="0"/>
    </xf>
    <xf borderId="0" fillId="10" fontId="13" numFmtId="164" xfId="0" applyAlignment="1" applyFont="1" applyNumberFormat="1">
      <alignment horizontal="left"/>
    </xf>
    <xf borderId="0" fillId="11" fontId="24" numFmtId="167" xfId="0" applyAlignment="1" applyFill="1" applyFont="1" applyNumberFormat="1">
      <alignment horizontal="center"/>
    </xf>
    <xf borderId="0" fillId="3" fontId="11" numFmtId="164" xfId="0" applyAlignment="1" applyFont="1" applyNumberFormat="1">
      <alignment horizontal="center"/>
    </xf>
    <xf borderId="0" fillId="3" fontId="25" numFmtId="166" xfId="0" applyAlignment="1" applyFont="1" applyNumberFormat="1">
      <alignment horizontal="center"/>
    </xf>
    <xf borderId="30" fillId="10" fontId="13" numFmtId="164" xfId="0" applyAlignment="1" applyBorder="1" applyFont="1" applyNumberFormat="1">
      <alignment horizontal="left" readingOrder="0"/>
    </xf>
    <xf borderId="9" fillId="3" fontId="12" numFmtId="168" xfId="0" applyAlignment="1" applyBorder="1" applyFont="1" applyNumberFormat="1">
      <alignment horizontal="center" readingOrder="0"/>
    </xf>
    <xf borderId="36" fillId="12" fontId="5" numFmtId="164" xfId="0" applyAlignment="1" applyBorder="1" applyFill="1" applyFont="1" applyNumberFormat="1">
      <alignment horizontal="center" readingOrder="0"/>
    </xf>
    <xf borderId="36" fillId="12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3" fontId="12" numFmtId="168" xfId="0" applyAlignment="1" applyFont="1" applyNumberFormat="1">
      <alignment horizontal="center"/>
    </xf>
    <xf borderId="36" fillId="2" fontId="5" numFmtId="164" xfId="0" applyAlignment="1" applyBorder="1" applyFont="1" applyNumberFormat="1">
      <alignment horizontal="center" readingOrder="0"/>
    </xf>
    <xf borderId="36" fillId="2" fontId="5" numFmtId="164" xfId="0" applyAlignment="1" applyBorder="1" applyFont="1" applyNumberFormat="1">
      <alignment horizontal="center"/>
    </xf>
    <xf borderId="0" fillId="2" fontId="5" numFmtId="164" xfId="0" applyAlignment="1" applyFont="1" applyNumberFormat="1">
      <alignment horizontal="center"/>
    </xf>
    <xf borderId="38" fillId="6" fontId="8" numFmtId="164" xfId="0" applyAlignment="1" applyBorder="1" applyFont="1" applyNumberFormat="1">
      <alignment horizontal="center"/>
    </xf>
    <xf borderId="39" fillId="6" fontId="8" numFmtId="164" xfId="0" applyAlignment="1" applyBorder="1" applyFont="1" applyNumberFormat="1">
      <alignment horizontal="center"/>
    </xf>
    <xf borderId="9" fillId="6" fontId="27" numFmtId="168" xfId="0" applyAlignment="1" applyBorder="1" applyFont="1" applyNumberFormat="1">
      <alignment horizontal="center"/>
    </xf>
    <xf borderId="9" fillId="3" fontId="25" numFmtId="166" xfId="0" applyAlignment="1" applyBorder="1" applyFont="1" applyNumberFormat="1">
      <alignment horizontal="center"/>
    </xf>
    <xf borderId="40" fillId="11" fontId="24" numFmtId="165" xfId="0" applyAlignment="1" applyBorder="1" applyFont="1" applyNumberFormat="1">
      <alignment horizontal="center"/>
    </xf>
    <xf borderId="40" fillId="9" fontId="24" numFmtId="164" xfId="0" applyAlignment="1" applyBorder="1" applyFont="1" applyNumberFormat="1">
      <alignment horizontal="center"/>
    </xf>
    <xf borderId="0" fillId="3" fontId="12" numFmtId="165" xfId="0" applyAlignment="1" applyFont="1" applyNumberFormat="1">
      <alignment horizontal="center" readingOrder="0"/>
    </xf>
    <xf borderId="41" fillId="4" fontId="5" numFmtId="164" xfId="0" applyAlignment="1" applyBorder="1" applyFont="1" applyNumberFormat="1">
      <alignment horizontal="center"/>
    </xf>
    <xf borderId="15" fillId="4" fontId="5" numFmtId="164" xfId="0" applyAlignment="1" applyBorder="1" applyFont="1" applyNumberFormat="1">
      <alignment horizontal="center"/>
    </xf>
    <xf borderId="0" fillId="3" fontId="12" numFmtId="164" xfId="0" applyAlignment="1" applyFont="1" applyNumberFormat="1">
      <alignment horizontal="center" readingOrder="0"/>
    </xf>
    <xf borderId="42" fillId="7" fontId="17" numFmtId="164" xfId="0" applyAlignment="1" applyBorder="1" applyFont="1" applyNumberFormat="1">
      <alignment horizontal="center"/>
    </xf>
    <xf borderId="18" fillId="7" fontId="17" numFmtId="164" xfId="0" applyAlignment="1" applyBorder="1" applyFont="1" applyNumberFormat="1">
      <alignment horizontal="center"/>
    </xf>
    <xf borderId="9" fillId="6" fontId="27" numFmtId="165" xfId="0" applyAlignment="1" applyBorder="1" applyFont="1" applyNumberFormat="1">
      <alignment horizontal="center"/>
    </xf>
    <xf borderId="0" fillId="3" fontId="12" numFmtId="164" xfId="0" applyAlignment="1" applyFont="1" applyNumberFormat="1">
      <alignment horizontal="center"/>
    </xf>
    <xf borderId="0" fillId="3" fontId="11" numFmtId="168" xfId="0" applyAlignment="1" applyFont="1" applyNumberFormat="1">
      <alignment horizontal="center"/>
    </xf>
    <xf borderId="0" fillId="3" fontId="12" numFmtId="167" xfId="0" applyAlignment="1" applyFont="1" applyNumberFormat="1">
      <alignment horizontal="center" readingOrder="0"/>
    </xf>
    <xf borderId="43" fillId="6" fontId="13" numFmtId="164" xfId="0" applyAlignment="1" applyBorder="1" applyFont="1" applyNumberFormat="1">
      <alignment horizontal="center" readingOrder="0"/>
    </xf>
    <xf borderId="43" fillId="6" fontId="13" numFmtId="168" xfId="0" applyAlignment="1" applyBorder="1" applyFont="1" applyNumberFormat="1">
      <alignment horizontal="center"/>
    </xf>
    <xf borderId="43" fillId="6" fontId="13" numFmtId="9" xfId="0" applyAlignment="1" applyBorder="1" applyFont="1" applyNumberFormat="1">
      <alignment horizontal="center" readingOrder="0"/>
    </xf>
    <xf borderId="43" fillId="3" fontId="25" numFmtId="166" xfId="0" applyAlignment="1" applyBorder="1" applyFont="1" applyNumberFormat="1">
      <alignment horizontal="center" readingOrder="0"/>
    </xf>
    <xf borderId="43" fillId="6" fontId="13" numFmtId="164" xfId="0" applyAlignment="1" applyBorder="1" applyFont="1" applyNumberFormat="1">
      <alignment horizontal="center"/>
    </xf>
    <xf borderId="9" fillId="3" fontId="12" numFmtId="164" xfId="0" applyAlignment="1" applyBorder="1" applyFont="1" applyNumberFormat="1">
      <alignment horizontal="center" readingOrder="0"/>
    </xf>
    <xf borderId="13" fillId="4" fontId="5" numFmtId="164" xfId="0" applyAlignment="1" applyBorder="1" applyFont="1" applyNumberFormat="1">
      <alignment horizontal="center" readingOrder="0"/>
    </xf>
    <xf borderId="16" fillId="7" fontId="17" numFmtId="164" xfId="0" applyAlignment="1" applyBorder="1" applyFont="1" applyNumberFormat="1">
      <alignment horizontal="center" readingOrder="0"/>
    </xf>
    <xf borderId="0" fillId="3" fontId="11" numFmtId="165" xfId="0" applyAlignment="1" applyFont="1" applyNumberFormat="1">
      <alignment horizontal="center"/>
    </xf>
    <xf borderId="44" fillId="5" fontId="13" numFmtId="165" xfId="0" applyAlignment="1" applyBorder="1" applyFont="1" applyNumberFormat="1">
      <alignment horizontal="center" readingOrder="0"/>
    </xf>
    <xf borderId="44" fillId="5" fontId="13" numFmtId="165" xfId="0" applyAlignment="1" applyBorder="1" applyFont="1" applyNumberFormat="1">
      <alignment horizontal="center"/>
    </xf>
    <xf borderId="0" fillId="5" fontId="28" numFmtId="168" xfId="0" applyAlignment="1" applyFont="1" applyNumberFormat="1">
      <alignment horizontal="center" readingOrder="0"/>
    </xf>
    <xf borderId="0" fillId="5" fontId="28" numFmtId="168" xfId="0" applyAlignment="1" applyFont="1" applyNumberFormat="1">
      <alignment horizontal="center"/>
    </xf>
    <xf borderId="45" fillId="5" fontId="13" numFmtId="165" xfId="0" applyAlignment="1" applyBorder="1" applyFont="1" applyNumberFormat="1">
      <alignment horizontal="center" readingOrder="0"/>
    </xf>
    <xf borderId="45" fillId="5" fontId="13" numFmtId="165" xfId="0" applyAlignment="1" applyBorder="1" applyFont="1" applyNumberFormat="1">
      <alignment horizontal="center"/>
    </xf>
    <xf borderId="0" fillId="3" fontId="26" numFmtId="170" xfId="0" applyAlignment="1" applyFont="1" applyNumberFormat="1">
      <alignment horizontal="center"/>
    </xf>
    <xf borderId="0" fillId="5" fontId="13" numFmtId="165" xfId="0" applyAlignment="1" applyFont="1" applyNumberFormat="1">
      <alignment horizontal="center" readingOrder="0"/>
    </xf>
    <xf borderId="0" fillId="5" fontId="13" numFmtId="165" xfId="0" applyAlignment="1" applyFont="1" applyNumberFormat="1">
      <alignment horizontal="center"/>
    </xf>
    <xf borderId="46" fillId="3" fontId="6" numFmtId="165" xfId="0" applyAlignment="1" applyBorder="1" applyFont="1" applyNumberFormat="1">
      <alignment horizontal="center" readingOrder="0"/>
    </xf>
    <xf borderId="46" fillId="3" fontId="6" numFmtId="165" xfId="0" applyAlignment="1" applyBorder="1" applyFont="1" applyNumberFormat="1">
      <alignment horizontal="center"/>
    </xf>
    <xf borderId="41" fillId="4" fontId="5" numFmtId="164" xfId="0" applyAlignment="1" applyBorder="1" applyFont="1" applyNumberFormat="1">
      <alignment horizontal="left"/>
    </xf>
    <xf borderId="42" fillId="7" fontId="17" numFmtId="164" xfId="0" applyAlignment="1" applyBorder="1" applyFont="1" applyNumberFormat="1">
      <alignment horizontal="left"/>
    </xf>
    <xf borderId="0" fillId="3" fontId="11" numFmtId="165" xfId="0" applyAlignment="1" applyFont="1" applyNumberFormat="1">
      <alignment horizontal="right"/>
    </xf>
    <xf borderId="46" fillId="3" fontId="13" numFmtId="165" xfId="0" applyAlignment="1" applyBorder="1" applyFont="1" applyNumberFormat="1">
      <alignment horizontal="center" readingOrder="0"/>
    </xf>
    <xf borderId="46" fillId="3" fontId="13" numFmtId="165" xfId="0" applyAlignment="1" applyBorder="1" applyFont="1" applyNumberFormat="1">
      <alignment horizontal="center"/>
    </xf>
    <xf borderId="0" fillId="3" fontId="11" numFmtId="167" xfId="0" applyAlignment="1" applyFont="1" applyNumberFormat="1">
      <alignment horizontal="center"/>
    </xf>
    <xf borderId="47" fillId="13" fontId="13" numFmtId="164" xfId="0" applyAlignment="1" applyBorder="1" applyFill="1" applyFont="1" applyNumberFormat="1">
      <alignment horizontal="center" readingOrder="0"/>
    </xf>
    <xf borderId="47" fillId="13" fontId="13" numFmtId="165" xfId="0" applyAlignment="1" applyBorder="1" applyFont="1" applyNumberFormat="1">
      <alignment horizontal="center"/>
    </xf>
    <xf borderId="47" fillId="13" fontId="13" numFmtId="164" xfId="0" applyAlignment="1" applyBorder="1" applyFont="1" applyNumberFormat="1">
      <alignment horizontal="center"/>
    </xf>
    <xf borderId="47" fillId="13" fontId="13" numFmtId="167" xfId="0" applyAlignment="1" applyBorder="1" applyFont="1" applyNumberFormat="1">
      <alignment horizontal="center"/>
    </xf>
    <xf borderId="48" fillId="6" fontId="6" numFmtId="164" xfId="0" applyAlignment="1" applyBorder="1" applyFont="1" applyNumberFormat="1">
      <alignment horizontal="center" readingOrder="0"/>
    </xf>
    <xf borderId="49" fillId="6" fontId="6" numFmtId="165" xfId="0" applyAlignment="1" applyBorder="1" applyFont="1" applyNumberFormat="1">
      <alignment horizontal="center"/>
    </xf>
    <xf borderId="50" fillId="6" fontId="6" numFmtId="164" xfId="0" applyAlignment="1" applyBorder="1" applyFont="1" applyNumberFormat="1">
      <alignment horizontal="center" readingOrder="0"/>
    </xf>
    <xf borderId="51" fillId="6" fontId="6" numFmtId="168" xfId="0" applyAlignment="1" applyBorder="1" applyFont="1" applyNumberFormat="1">
      <alignment horizontal="center"/>
    </xf>
    <xf borderId="52" fillId="6" fontId="6" numFmtId="167" xfId="0" applyAlignment="1" applyBorder="1" applyFont="1" applyNumberFormat="1">
      <alignment horizontal="center"/>
    </xf>
    <xf borderId="53" fillId="6" fontId="6" numFmtId="164" xfId="0" applyAlignment="1" applyBorder="1" applyFont="1" applyNumberFormat="1">
      <alignment horizontal="center" readingOrder="0"/>
    </xf>
    <xf borderId="54" fillId="6" fontId="6" numFmtId="168" xfId="0" applyAlignment="1" applyBorder="1" applyFont="1" applyNumberFormat="1">
      <alignment horizontal="center"/>
    </xf>
    <xf borderId="0" fillId="0" fontId="1" numFmtId="168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44" fillId="5" fontId="6" numFmtId="168" xfId="0" applyAlignment="1" applyBorder="1" applyFont="1" applyNumberFormat="1">
      <alignment horizontal="center" readingOrder="0"/>
    </xf>
    <xf borderId="44" fillId="5" fontId="6" numFmtId="168" xfId="0" applyAlignment="1" applyBorder="1" applyFont="1" applyNumberFormat="1">
      <alignment horizontal="center"/>
    </xf>
    <xf borderId="0" fillId="5" fontId="6" numFmtId="168" xfId="0" applyAlignment="1" applyFont="1" applyNumberFormat="1">
      <alignment horizontal="center" readingOrder="0"/>
    </xf>
    <xf borderId="0" fillId="5" fontId="6" numFmtId="168" xfId="0" applyAlignment="1" applyFont="1" applyNumberFormat="1">
      <alignment horizontal="center"/>
    </xf>
    <xf borderId="55" fillId="7" fontId="13" numFmtId="167" xfId="0" applyAlignment="1" applyBorder="1" applyFont="1" applyNumberFormat="1">
      <alignment horizontal="center" readingOrder="0"/>
    </xf>
    <xf borderId="55" fillId="7" fontId="13" numFmtId="167" xfId="0" applyAlignment="1" applyBorder="1" applyFont="1" applyNumberFormat="1">
      <alignment horizontal="center"/>
    </xf>
    <xf borderId="32" fillId="7" fontId="13" numFmtId="167" xfId="0" applyAlignment="1" applyBorder="1" applyFont="1" applyNumberFormat="1">
      <alignment horizontal="center" readingOrder="0"/>
    </xf>
    <xf borderId="56" fillId="7" fontId="13" numFmtId="167" xfId="0" applyAlignment="1" applyBorder="1" applyFont="1" applyNumberFormat="1">
      <alignment horizontal="center"/>
    </xf>
    <xf borderId="40" fillId="9" fontId="24" numFmtId="165" xfId="0" applyAlignment="1" applyBorder="1" applyFont="1" applyNumberFormat="1">
      <alignment horizontal="center"/>
    </xf>
    <xf borderId="1" fillId="4" fontId="5" numFmtId="164" xfId="0" applyAlignment="1" applyBorder="1" applyFont="1" applyNumberFormat="1">
      <alignment horizontal="left" readingOrder="0"/>
    </xf>
    <xf borderId="1" fillId="4" fontId="5" numFmtId="164" xfId="0" applyAlignment="1" applyBorder="1" applyFont="1" applyNumberFormat="1">
      <alignment horizontal="left"/>
    </xf>
    <xf borderId="0" fillId="7" fontId="12" numFmtId="168" xfId="0" applyAlignment="1" applyFont="1" applyNumberFormat="1">
      <alignment horizontal="center" readingOrder="0"/>
    </xf>
    <xf borderId="37" fillId="5" fontId="13" numFmtId="164" xfId="0" applyAlignment="1" applyBorder="1" applyFont="1" applyNumberFormat="1">
      <alignment horizontal="center"/>
    </xf>
    <xf borderId="0" fillId="7" fontId="12" numFmtId="167" xfId="0" applyAlignment="1" applyFont="1" applyNumberFormat="1">
      <alignment horizontal="center" readingOrder="0"/>
    </xf>
    <xf borderId="46" fillId="3" fontId="13" numFmtId="168" xfId="0" applyAlignment="1" applyBorder="1" applyFont="1" applyNumberFormat="1">
      <alignment horizontal="center"/>
    </xf>
    <xf borderId="0" fillId="7" fontId="12" numFmtId="168" xfId="0" applyAlignment="1" applyFont="1" applyNumberFormat="1">
      <alignment horizontal="center"/>
    </xf>
    <xf borderId="44" fillId="3" fontId="13" numFmtId="165" xfId="0" applyAlignment="1" applyBorder="1" applyFont="1" applyNumberFormat="1">
      <alignment horizontal="center"/>
    </xf>
    <xf borderId="57" fillId="11" fontId="24" numFmtId="168" xfId="0" applyAlignment="1" applyBorder="1" applyFont="1" applyNumberFormat="1">
      <alignment horizontal="center"/>
    </xf>
    <xf borderId="58" fillId="14" fontId="5" numFmtId="164" xfId="0" applyAlignment="1" applyBorder="1" applyFill="1" applyFont="1" applyNumberFormat="1">
      <alignment horizontal="center" readingOrder="0"/>
    </xf>
    <xf borderId="0" fillId="3" fontId="25" numFmtId="164" xfId="0" applyAlignment="1" applyFont="1" applyNumberFormat="1">
      <alignment horizontal="center" readingOrder="0"/>
    </xf>
    <xf borderId="0" fillId="6" fontId="8" numFmtId="171" xfId="0" applyAlignment="1" applyFont="1" applyNumberFormat="1">
      <alignment horizontal="center" readingOrder="0"/>
    </xf>
    <xf borderId="0" fillId="3" fontId="11" numFmtId="166" xfId="0" applyAlignment="1" applyFont="1" applyNumberFormat="1">
      <alignment horizontal="center" readingOrder="0"/>
    </xf>
    <xf borderId="30" fillId="3" fontId="25" numFmtId="164" xfId="0" applyAlignment="1" applyBorder="1" applyFont="1" applyNumberFormat="1">
      <alignment horizontal="center" readingOrder="0"/>
    </xf>
    <xf borderId="30" fillId="6" fontId="8" numFmtId="171" xfId="0" applyAlignment="1" applyBorder="1" applyFont="1" applyNumberFormat="1">
      <alignment horizontal="center" readingOrder="0"/>
    </xf>
    <xf borderId="30" fillId="3" fontId="11" numFmtId="166" xfId="0" applyAlignment="1" applyBorder="1" applyFont="1" applyNumberFormat="1">
      <alignment horizontal="center" readingOrder="0"/>
    </xf>
    <xf borderId="59" fillId="15" fontId="29" numFmtId="164" xfId="0" applyAlignment="1" applyBorder="1" applyFill="1" applyFont="1" applyNumberFormat="1">
      <alignment horizontal="left" readingOrder="0"/>
    </xf>
    <xf borderId="60" fillId="15" fontId="29" numFmtId="164" xfId="0" applyAlignment="1" applyBorder="1" applyFont="1" applyNumberFormat="1">
      <alignment horizontal="left"/>
    </xf>
    <xf borderId="61" fillId="15" fontId="29" numFmtId="164" xfId="0" applyAlignment="1" applyBorder="1" applyFont="1" applyNumberFormat="1">
      <alignment horizontal="left"/>
    </xf>
    <xf borderId="16" fillId="7" fontId="17" numFmtId="164" xfId="0" applyAlignment="1" applyBorder="1" applyFont="1" applyNumberFormat="1">
      <alignment horizontal="left" readingOrder="0"/>
    </xf>
    <xf borderId="0" fillId="7" fontId="23" numFmtId="164" xfId="0" applyAlignment="1" applyFont="1" applyNumberFormat="1">
      <alignment horizontal="center" readingOrder="0"/>
    </xf>
    <xf borderId="62" fillId="11" fontId="24" numFmtId="164" xfId="0" applyAlignment="1" applyBorder="1" applyFont="1" applyNumberFormat="1">
      <alignment horizontal="center" readingOrder="0"/>
    </xf>
    <xf borderId="0" fillId="3" fontId="11" numFmtId="168" xfId="0" applyAlignment="1" applyFont="1" applyNumberFormat="1">
      <alignment horizontal="center" readingOrder="0"/>
    </xf>
    <xf borderId="0" fillId="6" fontId="8" numFmtId="1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63" fillId="7" fontId="20" numFmtId="164" xfId="0" applyAlignment="1" applyBorder="1" applyFont="1" applyNumberFormat="1">
      <alignment horizontal="center" readingOrder="0"/>
    </xf>
    <xf borderId="64" fillId="7" fontId="20" numFmtId="2" xfId="0" applyAlignment="1" applyBorder="1" applyFont="1" applyNumberFormat="1">
      <alignment horizontal="center"/>
    </xf>
    <xf borderId="65" fillId="7" fontId="20" numFmtId="164" xfId="0" applyAlignment="1" applyBorder="1" applyFont="1" applyNumberFormat="1">
      <alignment horizontal="center" readingOrder="0"/>
    </xf>
    <xf borderId="66" fillId="7" fontId="20" numFmtId="164" xfId="0" applyAlignment="1" applyBorder="1" applyFont="1" applyNumberFormat="1">
      <alignment horizontal="center"/>
    </xf>
    <xf borderId="0" fillId="3" fontId="27" numFmtId="168" xfId="0" applyAlignment="1" applyFont="1" applyNumberFormat="1">
      <alignment horizontal="right"/>
    </xf>
    <xf borderId="0" fillId="3" fontId="27" numFmtId="168" xfId="0" applyAlignment="1" applyFont="1" applyNumberFormat="1">
      <alignment horizontal="right" readingOrder="0"/>
    </xf>
    <xf borderId="0" fillId="0" fontId="1" numFmtId="0" xfId="0" applyAlignment="1" applyFont="1">
      <alignment horizontal="center" readingOrder="0"/>
    </xf>
    <xf borderId="44" fillId="6" fontId="13" numFmtId="164" xfId="0" applyAlignment="1" applyBorder="1" applyFont="1" applyNumberFormat="1">
      <alignment horizontal="right" readingOrder="0"/>
    </xf>
    <xf borderId="44" fillId="6" fontId="13" numFmtId="165" xfId="0" applyAlignment="1" applyBorder="1" applyFont="1" applyNumberFormat="1">
      <alignment horizontal="right"/>
    </xf>
    <xf borderId="0" fillId="6" fontId="13" numFmtId="164" xfId="0" applyAlignment="1" applyFont="1" applyNumberFormat="1">
      <alignment horizontal="right" readingOrder="0"/>
    </xf>
    <xf borderId="0" fillId="6" fontId="13" numFmtId="165" xfId="0" applyAlignment="1" applyFont="1" applyNumberFormat="1">
      <alignment horizontal="right"/>
    </xf>
    <xf borderId="0" fillId="6" fontId="13" numFmtId="168" xfId="0" applyAlignment="1" applyFont="1" applyNumberFormat="1">
      <alignment horizontal="right"/>
    </xf>
    <xf borderId="0" fillId="6" fontId="13" numFmtId="164" xfId="0" applyAlignment="1" applyFont="1" applyNumberFormat="1">
      <alignment horizontal="right"/>
    </xf>
    <xf borderId="67" fillId="6" fontId="13" numFmtId="164" xfId="0" applyAlignment="1" applyBorder="1" applyFont="1" applyNumberFormat="1">
      <alignment horizontal="right" readingOrder="0"/>
    </xf>
    <xf borderId="67" fillId="6" fontId="13" numFmtId="172" xfId="0" applyAlignment="1" applyBorder="1" applyFont="1" applyNumberFormat="1">
      <alignment horizontal="right"/>
    </xf>
    <xf borderId="68" fillId="16" fontId="5" numFmtId="164" xfId="0" applyAlignment="1" applyBorder="1" applyFill="1" applyFont="1" applyNumberFormat="1">
      <alignment horizontal="center" readingOrder="0"/>
    </xf>
    <xf borderId="0" fillId="6" fontId="8" numFmtId="173" xfId="0" applyAlignment="1" applyFont="1" applyNumberFormat="1">
      <alignment horizontal="center" readingOrder="0"/>
    </xf>
    <xf borderId="0" fillId="6" fontId="8" numFmtId="168" xfId="0" applyAlignment="1" applyFont="1" applyNumberFormat="1">
      <alignment horizontal="center" readingOrder="0"/>
    </xf>
    <xf borderId="0" fillId="3" fontId="30" numFmtId="164" xfId="0" applyAlignment="1" applyFont="1" applyNumberFormat="1">
      <alignment horizontal="center" readingOrder="0"/>
    </xf>
    <xf borderId="69" fillId="17" fontId="31" numFmtId="164" xfId="0" applyAlignment="1" applyBorder="1" applyFill="1" applyFont="1" applyNumberFormat="1">
      <alignment horizontal="left" readingOrder="0"/>
    </xf>
    <xf borderId="70" fillId="17" fontId="31" numFmtId="164" xfId="0" applyAlignment="1" applyBorder="1" applyFont="1" applyNumberFormat="1">
      <alignment horizontal="left"/>
    </xf>
    <xf borderId="71" fillId="17" fontId="31" numFmtId="164" xfId="0" applyAlignment="1" applyBorder="1" applyFont="1" applyNumberFormat="1">
      <alignment horizontal="left"/>
    </xf>
    <xf borderId="72" fillId="18" fontId="5" numFmtId="164" xfId="0" applyAlignment="1" applyBorder="1" applyFill="1" applyFont="1" applyNumberFormat="1">
      <alignment horizontal="left" readingOrder="0"/>
    </xf>
    <xf borderId="0" fillId="3" fontId="32" numFmtId="164" xfId="0" applyAlignment="1" applyFont="1" applyNumberFormat="1">
      <alignment horizontal="center" readingOrder="0"/>
    </xf>
    <xf borderId="30" fillId="3" fontId="33" numFmtId="164" xfId="0" applyAlignment="1" applyBorder="1" applyFont="1" applyNumberFormat="1">
      <alignment horizontal="center" readingOrder="0"/>
    </xf>
    <xf borderId="73" fillId="19" fontId="34" numFmtId="164" xfId="0" applyAlignment="1" applyBorder="1" applyFill="1" applyFont="1" applyNumberFormat="1">
      <alignment horizontal="left" readingOrder="0"/>
    </xf>
    <xf borderId="74" fillId="19" fontId="34" numFmtId="164" xfId="0" applyAlignment="1" applyBorder="1" applyFont="1" applyNumberFormat="1">
      <alignment horizontal="left"/>
    </xf>
    <xf borderId="75" fillId="19" fontId="34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mf.org/en/publications/gfsr/issues/2024/04/16/global-financial-stability-report-april-2024" TargetMode="External"/><Relationship Id="rId2" Type="http://schemas.openxmlformats.org/officeDocument/2006/relationships/hyperlink" Target="https://fred.stlouisfed.org/series/SOFR" TargetMode="External"/><Relationship Id="rId3" Type="http://schemas.openxmlformats.org/officeDocument/2006/relationships/hyperlink" Target="https://www.sec.gov/Archives/edgar/data/1824403/000119312525057180/d844452dex101.htm" TargetMode="External"/><Relationship Id="rId4" Type="http://schemas.openxmlformats.org/officeDocument/2006/relationships/hyperlink" Target="https://www.sec.gov/Archives/edgar/data/1795250/000179525024000191/sphr-20241202.htm" TargetMode="External"/><Relationship Id="rId5" Type="http://schemas.openxmlformats.org/officeDocument/2006/relationships/hyperlink" Target="https://www.sec.gov/Archives/edgar/data/1514991/000151499123000038/amcx-20231128.htm" TargetMode="External"/><Relationship Id="rId6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88"/>
    <col customWidth="1" min="2" max="2" width="71.38"/>
    <col customWidth="1" min="3" max="3" width="11.38"/>
    <col customWidth="1" min="4" max="10" width="7.0"/>
  </cols>
  <sheetData>
    <row r="1">
      <c r="A1" s="1"/>
      <c r="B1" s="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3.0" customHeight="1">
      <c r="A4" s="15"/>
      <c r="B4" s="17" t="s">
        <v>23</v>
      </c>
      <c r="C4" s="15"/>
      <c r="D4" s="15"/>
      <c r="E4" s="15"/>
      <c r="F4" s="15"/>
      <c r="G4" s="15"/>
      <c r="H4" s="15"/>
      <c r="I4" s="1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35"/>
      <c r="B7" s="37" t="s">
        <v>35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7"/>
      <c r="B9" s="4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58" t="s">
        <v>46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58" t="s">
        <v>48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58" t="s">
        <v>52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58" t="s">
        <v>55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66" t="s">
        <v>63</v>
      </c>
      <c r="B20" s="6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72" t="s">
        <v>30</v>
      </c>
      <c r="B21" s="74">
        <v>7.5E7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75" t="s">
        <v>11</v>
      </c>
      <c r="B22" s="76" t="s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75" t="s">
        <v>29</v>
      </c>
      <c r="B23" s="76" t="s">
        <v>75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75" t="s">
        <v>10</v>
      </c>
      <c r="B24" s="8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85" t="s">
        <v>81</v>
      </c>
      <c r="B25" s="86" t="s">
        <v>83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3" t="s">
        <v>106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9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7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233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2" width="115.38"/>
  </cols>
  <sheetData>
    <row r="1">
      <c r="A1" s="3" t="s">
        <v>2</v>
      </c>
      <c r="B1" s="8"/>
    </row>
    <row r="2">
      <c r="A2" s="9" t="s">
        <v>3</v>
      </c>
      <c r="B2" s="10"/>
    </row>
    <row r="4">
      <c r="A4" s="12" t="s">
        <v>6</v>
      </c>
      <c r="B4" s="12" t="s">
        <v>7</v>
      </c>
    </row>
    <row r="5">
      <c r="A5" s="13" t="s">
        <v>8</v>
      </c>
      <c r="B5" s="13" t="s">
        <v>9</v>
      </c>
    </row>
    <row r="6">
      <c r="A6" s="13" t="s">
        <v>11</v>
      </c>
      <c r="B6" s="13" t="s">
        <v>12</v>
      </c>
    </row>
    <row r="7">
      <c r="A7" s="13" t="s">
        <v>13</v>
      </c>
      <c r="B7" s="13" t="s">
        <v>14</v>
      </c>
    </row>
    <row r="8">
      <c r="A8" s="13" t="s">
        <v>15</v>
      </c>
      <c r="B8" s="13" t="s">
        <v>16</v>
      </c>
    </row>
    <row r="9">
      <c r="A9" s="13" t="s">
        <v>17</v>
      </c>
      <c r="B9" s="13" t="s">
        <v>18</v>
      </c>
    </row>
    <row r="10">
      <c r="A10" s="13" t="s">
        <v>19</v>
      </c>
      <c r="B10" s="13" t="s">
        <v>20</v>
      </c>
    </row>
    <row r="11">
      <c r="A11" s="13" t="s">
        <v>21</v>
      </c>
      <c r="B11" s="18">
        <f>'Inputs &amp; Assumptions'!C36</f>
        <v>75000000</v>
      </c>
    </row>
    <row r="12">
      <c r="A12" s="13" t="s">
        <v>25</v>
      </c>
      <c r="B12" s="23">
        <f>'Inputs &amp; Assumptions'!C37</f>
        <v>5</v>
      </c>
    </row>
    <row r="13">
      <c r="A13" s="13" t="s">
        <v>27</v>
      </c>
      <c r="B13" s="28" t="str">
        <f>"SOFR + "&amp;TEXT('Inputs &amp; Assumptions'!C32,"0.00%")</f>
        <v>SOFR + 6.50%</v>
      </c>
    </row>
    <row r="14">
      <c r="A14" s="13" t="s">
        <v>31</v>
      </c>
      <c r="B14" s="13" t="s">
        <v>32</v>
      </c>
    </row>
    <row r="15">
      <c r="A15" s="13" t="s">
        <v>33</v>
      </c>
      <c r="B15" s="33">
        <f>DATE(2026,11,19)</f>
        <v>46345</v>
      </c>
    </row>
    <row r="17">
      <c r="A17" s="34" t="s">
        <v>34</v>
      </c>
      <c r="B17" s="44" t="str">
        <f>"Proposed "&amp;TEXT('Inputs &amp; Assumptions'!C36/1000000,"$0.0")&amp;" million facility supported by a diversified borrowing base with "&amp;TEXT('Borrowing Base'!B16,"0.00x")&amp;" eligible collateral coverage and base-case DSCR of "&amp;TEXT('Debt Service'!B12,"0.00x")&amp;"."</f>
        <v>Proposed $75.0 million facility supported by a diversified borrowing base with 2.15x eligible collateral coverage and base-case DSCR of 1.90x.</v>
      </c>
    </row>
    <row r="19">
      <c r="A19" s="45" t="s">
        <v>40</v>
      </c>
      <c r="B19" s="48"/>
    </row>
    <row r="20">
      <c r="A20" s="52" t="str">
        <f>"The proposed "&amp;TEXT(B11/1000000,"$0.0")&amp;" million first-lien facility relies on borrowing-base discipline and controlled cash collections rather than enterprise value alone."</f>
        <v>The proposed $75.0 million first-lien facility relies on borrowing-base discipline and controlled cash collections rather than enterprise value alone.</v>
      </c>
      <c r="B20" s="5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233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38"/>
    <col customWidth="1" min="2" max="2" width="128.63"/>
    <col customWidth="1" min="3" max="3" width="0.88"/>
    <col customWidth="1" min="4" max="4" width="32.75"/>
    <col customWidth="1" min="5" max="7" width="12.0"/>
    <col customWidth="1" min="8" max="8" width="23.63"/>
    <col customWidth="1" min="9" max="9" width="28.5"/>
    <col customWidth="1" min="10" max="10" width="12.0"/>
  </cols>
  <sheetData>
    <row r="1">
      <c r="A1" s="2" t="s">
        <v>1</v>
      </c>
      <c r="B1" s="4"/>
      <c r="C1" s="4"/>
      <c r="D1" s="6"/>
      <c r="E1" s="6"/>
      <c r="F1" s="4"/>
      <c r="G1" s="4"/>
      <c r="H1" s="4"/>
      <c r="I1" s="4"/>
      <c r="J1" s="4"/>
    </row>
    <row r="2">
      <c r="A2" s="9" t="s">
        <v>4</v>
      </c>
      <c r="B2" s="10"/>
      <c r="C2" s="10"/>
      <c r="D2" s="11"/>
      <c r="E2" s="11"/>
      <c r="F2" s="10"/>
      <c r="G2" s="10"/>
      <c r="H2" s="10"/>
      <c r="I2" s="10"/>
      <c r="J2" s="10"/>
    </row>
    <row r="3">
      <c r="D3" s="1"/>
      <c r="E3" s="1"/>
    </row>
    <row r="4">
      <c r="A4" s="14" t="s">
        <v>10</v>
      </c>
      <c r="B4" s="20" t="str">
        <f>IF('Credit Scorecard'!B15="DECLINE","REJECT",IF('Credit Scorecard'!B15="CONDITIONAL APPROVAL","APPROVE WITH CONDITIONS",IF('Credit Scorecard'!B15="WATCH / RESTRUCTURE TERMS","APPROVE WITH CONDITIONS","REVIEW")))</f>
        <v>APPROVE WITH CONDITIONS</v>
      </c>
      <c r="D4" s="22" t="s">
        <v>26</v>
      </c>
      <c r="E4" s="25"/>
      <c r="G4" s="26" t="s">
        <v>28</v>
      </c>
      <c r="H4" s="27"/>
      <c r="I4" s="27"/>
    </row>
    <row r="5">
      <c r="A5" s="29" t="s">
        <v>29</v>
      </c>
      <c r="B5" s="31" t="str">
        <f>'Executive Dashboard'!E9</f>
        <v>3 - Watch</v>
      </c>
      <c r="D5" s="32" t="s">
        <v>30</v>
      </c>
      <c r="E5" s="36">
        <f>'Inputs &amp; Assumptions'!C36</f>
        <v>75000000</v>
      </c>
      <c r="G5" s="38" t="s">
        <v>36</v>
      </c>
      <c r="H5" s="38" t="s">
        <v>37</v>
      </c>
      <c r="I5" s="40" t="str">
        <f>IF(E10&gt;=1.25,"🟢 STRONG",IF(E10&gt;=1.15,"🟡 MODERATE RISK","🔴 HIGH RISK"))</f>
        <v>🟡 MODERATE RISK</v>
      </c>
    </row>
    <row r="6">
      <c r="A6" s="29" t="s">
        <v>38</v>
      </c>
      <c r="B6" s="43">
        <f>'Credit Scorecard'!B14</f>
        <v>3.22</v>
      </c>
      <c r="D6" s="32" t="s">
        <v>39</v>
      </c>
      <c r="E6" s="36">
        <f>'Borrowing Base'!F11</f>
        <v>92582284.75</v>
      </c>
      <c r="G6" s="38" t="s">
        <v>41</v>
      </c>
      <c r="H6" s="38" t="s">
        <v>42</v>
      </c>
      <c r="I6" s="40" t="str">
        <f>IF(E9&lt;=0.5,"🟢 STRONG",IF(E9&lt;=0.55,"🟡 MODERATE RISK","🔴 HIGH RISK"))</f>
        <v>🟢 STRONG</v>
      </c>
    </row>
    <row r="7">
      <c r="A7" s="50" t="s">
        <v>43</v>
      </c>
      <c r="B7" s="55" t="str">
        <f>IF(B4="APPROVE WITH CONDITIONS","Adequate base cash flow and collateral; downside borrowing-base gap, maturity refinancing risk — structural protections required.",IF(B4="APPROVE","Metrics support approval on proposed terms.","Risk-adjusted protection insufficient under modeled structure."))</f>
        <v>Adequate base cash flow and collateral; downside borrowing-base gap, maturity refinancing risk — structural protections required.</v>
      </c>
      <c r="D7" s="32" t="s">
        <v>45</v>
      </c>
      <c r="E7" s="57">
        <f>'Borrowing Base'!F11/'Inputs &amp; Assumptions'!C36</f>
        <v>1.234430463</v>
      </c>
      <c r="G7" s="38" t="s">
        <v>45</v>
      </c>
      <c r="H7" s="38" t="s">
        <v>47</v>
      </c>
      <c r="I7" s="40" t="str">
        <f>IF(E7&gt;=1.1,"🟢 STRONG",IF(E7&gt;=1,"🟡 MODERATE RISK","🔴 HIGH RISK"))</f>
        <v>🟢 STRONG</v>
      </c>
    </row>
    <row r="8">
      <c r="D8" s="32" t="s">
        <v>49</v>
      </c>
      <c r="E8" s="57">
        <f>'Borrowing Base'!E11/'Inputs &amp; Assumptions'!C36</f>
        <v>2.150227593</v>
      </c>
      <c r="G8" s="38" t="s">
        <v>50</v>
      </c>
      <c r="H8" s="38" t="s">
        <v>51</v>
      </c>
      <c r="I8" s="40" t="str">
        <f>IF('Scenario Analysis'!C14&gt;=1.1,"🟢 STRONG",IF('Scenario Analysis'!C14&gt;=1,"🟡 MODERATE RISK","🔴 HIGH RISK"))</f>
        <v>🔴 HIGH RISK</v>
      </c>
    </row>
    <row r="9">
      <c r="D9" s="32" t="s">
        <v>54</v>
      </c>
      <c r="E9" s="62">
        <f>'Borrowing Base'!B17</f>
        <v>0.4200580664</v>
      </c>
      <c r="G9" s="38" t="s">
        <v>56</v>
      </c>
      <c r="H9" s="38" t="s">
        <v>57</v>
      </c>
      <c r="I9" s="40" t="str">
        <f>IF(E14&gt;=0.9,"🟢 STRONG",IF(E14&gt;=0.8,"🟡 MODERATE RISK","🔴 HIGH RISK"))</f>
        <v>🟢 STRONG</v>
      </c>
    </row>
    <row r="10">
      <c r="A10" s="26" t="s">
        <v>58</v>
      </c>
      <c r="B10" s="27"/>
      <c r="C10" s="27"/>
      <c r="D10" s="22" t="s">
        <v>59</v>
      </c>
      <c r="E10" s="64">
        <f>MIN('Debt Service'!B12:E12)</f>
        <v>1.200963602</v>
      </c>
      <c r="F10" s="27"/>
      <c r="G10" s="26" t="s">
        <v>44</v>
      </c>
      <c r="H10" s="26" t="s">
        <v>61</v>
      </c>
      <c r="I10" s="27" t="str">
        <f>IF(E12&gt;=1.5,"🟢 STRONG",IF(E12&gt;=1.25,"🟡 MODERATE RISK","🔴 HIGH RISK"))</f>
        <v>🟡 MODERATE RISK</v>
      </c>
      <c r="J10" s="27"/>
    </row>
    <row r="11">
      <c r="A11" s="28" t="str">
        <f>"Asset-backed first-lien facility with "&amp;TEXT(E7,"0.00x")&amp;" borrowing-base coverage, "&amp;TEXT(E9,"0.0%")&amp;" LTV and "&amp;TEXT(E13,"0.0%")&amp;" expected net yield. Approval is conditioned on curing downside borrowing-base pressure and maturity liquidity risk."</f>
        <v>Asset-backed first-lien facility with 1.23x borrowing-base coverage, 42.0% LTV and 8.2% expected net yield. Approval is conditioned on curing downside borrowing-base pressure and maturity liquidity risk.</v>
      </c>
      <c r="D11" s="32" t="s">
        <v>64</v>
      </c>
      <c r="E11" s="57">
        <f>'Scenario Analysis'!C15</f>
        <v>1.323425336</v>
      </c>
    </row>
    <row r="12">
      <c r="D12" s="32" t="s">
        <v>66</v>
      </c>
      <c r="E12" s="57">
        <f>MIN('Debt Service'!B11:F11)</f>
        <v>1.46570972</v>
      </c>
    </row>
    <row r="13">
      <c r="A13" s="70" t="s">
        <v>67</v>
      </c>
      <c r="B13" s="71"/>
      <c r="C13" s="71"/>
      <c r="D13" s="73" t="s">
        <v>60</v>
      </c>
      <c r="E13" s="62">
        <f>'Debt Structure'!B22</f>
        <v>0.0823</v>
      </c>
      <c r="F13" s="70" t="s">
        <v>69</v>
      </c>
      <c r="G13" s="71"/>
      <c r="H13" s="71"/>
      <c r="I13" s="71"/>
      <c r="J13" s="71"/>
    </row>
    <row r="14">
      <c r="A14" s="13" t="s">
        <v>70</v>
      </c>
      <c r="D14" s="32" t="s">
        <v>71</v>
      </c>
      <c r="E14" s="62">
        <f>'Recovery Analysis'!B14</f>
        <v>1</v>
      </c>
      <c r="F14" s="28" t="str">
        <f>"• Downside BB coverage — "&amp;TEXT('Scenario Analysis'!C14,"0.00x")&amp;"; below full principal coverage."</f>
        <v>• Downside BB coverage — 0.97x; below full principal coverage.</v>
      </c>
    </row>
    <row r="15">
      <c r="A15" s="28" t="str">
        <f>"• Current borrowing-base headroom — "&amp;TEXT('Borrowing Base'!G11/1000000,"$0.0")&amp;" million."</f>
        <v>• Current borrowing-base headroom — $17.6 million.</v>
      </c>
      <c r="D15" s="79" t="s">
        <v>76</v>
      </c>
      <c r="E15" s="82">
        <f>MIN(0,'Debt Service'!F13)</f>
        <v>-57209308.58</v>
      </c>
      <c r="F15" s="28" t="str">
        <f>"• Minimum pre-maturity DSCR declines to "&amp;TEXT(E10,"0.00x")&amp;" as library cash flow decays."</f>
        <v>• Minimum pre-maturity DSCR declines to 1.20x as library cash flow decays.</v>
      </c>
    </row>
    <row r="16">
      <c r="A16" s="28" t="str">
        <f>"• Modeled PV recovery is "&amp;TEXT('Recovery Analysis'!B14,"0.0%")&amp;" of principal with first-lien structural protection."</f>
        <v>• Modeled PV recovery is 100.0% of principal with first-lien structural protection.</v>
      </c>
      <c r="D16" s="1"/>
      <c r="E16" s="1"/>
      <c r="F16" s="28" t="str">
        <f>"• Maturity cash shortfall — "&amp;TEXT(ABS(E15)/1000000,"$0.0")&amp;" million; refinancing risk."</f>
        <v>• Maturity cash shortfall — $57.2 million; refinancing risk.</v>
      </c>
    </row>
    <row r="17">
      <c r="D17" s="1"/>
      <c r="E17" s="1"/>
    </row>
    <row r="18">
      <c r="A18" s="70" t="s">
        <v>87</v>
      </c>
      <c r="B18" s="71"/>
      <c r="C18" s="71"/>
      <c r="D18" s="89"/>
      <c r="E18" s="89"/>
      <c r="F18" s="70" t="s">
        <v>90</v>
      </c>
      <c r="G18" s="71"/>
      <c r="H18" s="71"/>
      <c r="I18" s="71"/>
      <c r="J18" s="71"/>
    </row>
    <row r="19">
      <c r="A19" s="13" t="s">
        <v>93</v>
      </c>
      <c r="D19" s="1"/>
      <c r="E19" s="1"/>
      <c r="F19" s="13" t="s">
        <v>94</v>
      </c>
    </row>
    <row r="20">
      <c r="A20" s="13" t="s">
        <v>96</v>
      </c>
      <c r="D20" s="1"/>
      <c r="E20" s="1"/>
      <c r="F20" s="13" t="s">
        <v>97</v>
      </c>
    </row>
    <row r="21">
      <c r="A21" s="13" t="s">
        <v>98</v>
      </c>
      <c r="D21" s="1"/>
      <c r="E21" s="1"/>
      <c r="F21" s="13" t="s">
        <v>99</v>
      </c>
    </row>
    <row r="22">
      <c r="A22" s="13" t="s">
        <v>100</v>
      </c>
      <c r="D22" s="1"/>
      <c r="E22" s="1"/>
      <c r="F22" s="13" t="s">
        <v>102</v>
      </c>
    </row>
    <row r="23">
      <c r="A23" s="13" t="s">
        <v>103</v>
      </c>
      <c r="D23" s="1"/>
      <c r="E23" s="1"/>
      <c r="F23" s="13" t="s">
        <v>104</v>
      </c>
    </row>
    <row r="24">
      <c r="D24" s="1"/>
      <c r="E24" s="1"/>
    </row>
    <row r="25">
      <c r="A25" s="70" t="s">
        <v>107</v>
      </c>
      <c r="B25" s="71"/>
      <c r="C25" s="71"/>
      <c r="D25" s="89"/>
      <c r="E25" s="89"/>
      <c r="F25" s="70" t="s">
        <v>109</v>
      </c>
      <c r="G25" s="71"/>
      <c r="H25" s="71"/>
      <c r="I25" s="71"/>
      <c r="J25" s="71"/>
    </row>
    <row r="26">
      <c r="A26" s="13" t="s">
        <v>111</v>
      </c>
      <c r="D26" s="1"/>
      <c r="E26" s="1"/>
      <c r="F26" s="97" t="s">
        <v>112</v>
      </c>
      <c r="G26" s="101" t="str">
        <f>IF(SUM(COUNTBLANK('Inputs &amp; Assumptions'!C5:C12),COUNTBLANK('Inputs &amp; Assumptions'!C14:C23),COUNTBLANK('Inputs &amp; Assumptions'!C25:C29),COUNTBLANK('Inputs &amp; Assumptions'!C31:C39),COUNTBLANK('Inputs &amp; Assumptions'!C42:C46),COUNTBLANK('Inputs &amp; Assumptions'!C48:C53),COUNTBLANK('Inputs &amp; Assumptions'!C55:C60),COUNTBLANK('Inputs &amp; Assumptions'!C62:C65),COUNTBLANK('Inputs &amp; Assumptions'!C67:C68),COUNTBLANK('Inputs &amp; Assumptions'!C72:C76),COUNTBLANK('Inputs &amp; Assumptions'!C78:C85))=0,"PASS","FAIL")</f>
        <v>PASS</v>
      </c>
    </row>
    <row r="27">
      <c r="A27" s="13" t="s">
        <v>121</v>
      </c>
      <c r="D27" s="1"/>
      <c r="E27" s="1"/>
      <c r="F27" s="97" t="s">
        <v>122</v>
      </c>
      <c r="G27" s="101" t="str">
        <f>'Inputs &amp; Assumptions'!G70</f>
        <v>PASS</v>
      </c>
    </row>
    <row r="28">
      <c r="A28" s="13" t="s">
        <v>124</v>
      </c>
      <c r="D28" s="1"/>
      <c r="E28" s="1"/>
      <c r="F28" s="97" t="s">
        <v>125</v>
      </c>
      <c r="G28" s="101" t="str">
        <f>IF(ABS('Debt Service'!F10)&lt;1,"PASS","FAIL")</f>
        <v>PASS</v>
      </c>
    </row>
    <row r="29">
      <c r="A29" s="13" t="s">
        <v>127</v>
      </c>
      <c r="D29" s="1"/>
      <c r="E29" s="1"/>
      <c r="F29" s="97" t="s">
        <v>128</v>
      </c>
      <c r="G29" s="101" t="str">
        <f>IF(OR(ISERROR('Library Valuation'!B32),ISERROR('Borrowing Base'!F11),ISERROR('Debt Service'!B12),ISERROR('Recovery Analysis'!B14),ISERROR('Credit Scorecard'!B15)),"FAIL","PASS")</f>
        <v>PASS</v>
      </c>
    </row>
    <row r="30">
      <c r="A30" s="13" t="s">
        <v>132</v>
      </c>
      <c r="D30" s="1"/>
      <c r="E30" s="1"/>
      <c r="F30" s="97" t="s">
        <v>133</v>
      </c>
      <c r="G30" s="101" t="str">
        <f>IF('Debt Service'!F13&gt;=0,"PASS","FAIL")</f>
        <v>FAIL</v>
      </c>
    </row>
    <row r="31">
      <c r="D31" s="1"/>
      <c r="E31" s="1"/>
      <c r="F31" s="97" t="s">
        <v>136</v>
      </c>
      <c r="G31" s="101" t="str">
        <f>IF(AND(ISNUMBER('Library Valuation'!B32),ISNUMBER('Borrowing Base'!F11),ISNUMBER('Debt Service'!B12),ISNUMBER('Recovery Analysis'!B14)),"PASS","FAIL")</f>
        <v>PASS</v>
      </c>
    </row>
    <row r="32">
      <c r="A32" s="70" t="s">
        <v>137</v>
      </c>
      <c r="B32" s="71"/>
      <c r="C32" s="71"/>
      <c r="D32" s="89"/>
      <c r="E32" s="89"/>
      <c r="F32" s="105" t="s">
        <v>138</v>
      </c>
      <c r="G32" s="105" t="s">
        <v>139</v>
      </c>
      <c r="H32" s="71"/>
      <c r="I32" s="71"/>
      <c r="J32" s="71"/>
    </row>
    <row r="33">
      <c r="A33" s="28" t="str">
        <f>"Base metrics support a conditional approval, but the structure must convert modeled collateral value into enforceable liquidity. The binding issues are downside borrowing-base coverage, declining debt-service capacity and the maturity bullet."</f>
        <v>Base metrics support a conditional approval, but the structure must convert modeled collateral value into enforceable liquidity. The binding issues are downside borrowing-base coverage, declining debt-service capacity and the maturity bullet.</v>
      </c>
      <c r="D33" s="1"/>
      <c r="E33" s="1"/>
    </row>
    <row r="34">
      <c r="D34" s="1"/>
      <c r="E34" s="1"/>
    </row>
    <row r="35">
      <c r="A35" s="13" t="s">
        <v>144</v>
      </c>
      <c r="D35" s="1"/>
      <c r="E35" s="1"/>
    </row>
    <row r="36">
      <c r="D36" s="1"/>
      <c r="E36" s="1"/>
    </row>
    <row r="37">
      <c r="D37" s="1"/>
      <c r="E37" s="1"/>
    </row>
    <row r="38">
      <c r="D38" s="1"/>
      <c r="E38" s="1"/>
    </row>
    <row r="39">
      <c r="D39" s="1"/>
      <c r="E39" s="1"/>
    </row>
    <row r="40">
      <c r="D40" s="1"/>
      <c r="E40" s="1"/>
    </row>
    <row r="41">
      <c r="D41" s="1"/>
      <c r="E41" s="1"/>
    </row>
    <row r="42">
      <c r="D42" s="1"/>
      <c r="E42" s="1"/>
    </row>
    <row r="43">
      <c r="D43" s="1"/>
      <c r="E43" s="1"/>
    </row>
    <row r="44">
      <c r="D44" s="1"/>
      <c r="E44" s="1"/>
    </row>
    <row r="45">
      <c r="D45" s="1"/>
      <c r="E45" s="1"/>
    </row>
    <row r="46">
      <c r="D46" s="1"/>
      <c r="E46" s="1"/>
    </row>
    <row r="47">
      <c r="D47" s="1"/>
      <c r="E47" s="1"/>
    </row>
    <row r="48">
      <c r="D48" s="1"/>
      <c r="E48" s="1"/>
    </row>
    <row r="49">
      <c r="D49" s="1"/>
      <c r="E49" s="1"/>
    </row>
    <row r="50">
      <c r="D50" s="1"/>
      <c r="E50" s="1"/>
    </row>
    <row r="51">
      <c r="D51" s="1"/>
      <c r="E51" s="1"/>
    </row>
    <row r="52">
      <c r="D52" s="1"/>
      <c r="E52" s="1"/>
    </row>
    <row r="53">
      <c r="D53" s="1"/>
      <c r="E53" s="1"/>
    </row>
    <row r="54">
      <c r="D54" s="1"/>
      <c r="E54" s="1"/>
    </row>
    <row r="55">
      <c r="D55" s="1"/>
      <c r="E55" s="1"/>
    </row>
    <row r="56">
      <c r="D56" s="1"/>
      <c r="E56" s="1"/>
    </row>
    <row r="57">
      <c r="D57" s="1"/>
      <c r="E57" s="1"/>
    </row>
    <row r="58">
      <c r="D58" s="1"/>
      <c r="E58" s="1"/>
    </row>
    <row r="59">
      <c r="D59" s="1"/>
      <c r="E59" s="1"/>
    </row>
    <row r="60">
      <c r="D60" s="1"/>
      <c r="E60" s="1"/>
    </row>
    <row r="61">
      <c r="D61" s="1"/>
      <c r="E61" s="1"/>
    </row>
    <row r="62">
      <c r="D62" s="1"/>
      <c r="E62" s="1"/>
    </row>
    <row r="63">
      <c r="D63" s="1"/>
      <c r="E63" s="1"/>
    </row>
    <row r="64">
      <c r="D64" s="1"/>
      <c r="E64" s="1"/>
    </row>
    <row r="65">
      <c r="D65" s="1"/>
      <c r="E65" s="1"/>
    </row>
    <row r="66">
      <c r="D66" s="1"/>
      <c r="E66" s="1"/>
    </row>
    <row r="67">
      <c r="D67" s="1"/>
      <c r="E67" s="1"/>
    </row>
    <row r="68">
      <c r="D68" s="1"/>
      <c r="E68" s="1"/>
    </row>
    <row r="69">
      <c r="D69" s="1"/>
      <c r="E69" s="1"/>
    </row>
    <row r="70">
      <c r="D70" s="1"/>
      <c r="E70" s="1"/>
    </row>
    <row r="71">
      <c r="D71" s="1"/>
      <c r="E71" s="1"/>
    </row>
    <row r="72">
      <c r="D72" s="1"/>
      <c r="E72" s="1"/>
    </row>
    <row r="73">
      <c r="D73" s="1"/>
      <c r="E73" s="1"/>
    </row>
    <row r="74">
      <c r="D74" s="1"/>
      <c r="E74" s="1"/>
    </row>
    <row r="75">
      <c r="D75" s="1"/>
      <c r="E75" s="1"/>
    </row>
    <row r="76">
      <c r="D76" s="1"/>
      <c r="E76" s="1"/>
    </row>
    <row r="77">
      <c r="D77" s="1"/>
      <c r="E77" s="1"/>
    </row>
    <row r="78">
      <c r="D78" s="1"/>
      <c r="E78" s="1"/>
    </row>
    <row r="79">
      <c r="D79" s="1"/>
      <c r="E79" s="1"/>
    </row>
    <row r="80">
      <c r="D80" s="1"/>
      <c r="E80" s="1"/>
    </row>
    <row r="81">
      <c r="D81" s="1"/>
      <c r="E81" s="1"/>
    </row>
    <row r="82">
      <c r="D82" s="1"/>
      <c r="E82" s="1"/>
    </row>
    <row r="83">
      <c r="D83" s="1"/>
      <c r="E83" s="1"/>
    </row>
    <row r="84">
      <c r="D84" s="1"/>
      <c r="E84" s="1"/>
    </row>
    <row r="85">
      <c r="D85" s="1"/>
      <c r="E85" s="1"/>
    </row>
    <row r="86">
      <c r="D86" s="1"/>
      <c r="E86" s="1"/>
    </row>
    <row r="87">
      <c r="D87" s="1"/>
      <c r="E87" s="1"/>
    </row>
    <row r="88">
      <c r="D88" s="1"/>
      <c r="E88" s="1"/>
    </row>
    <row r="89">
      <c r="D89" s="1"/>
      <c r="E89" s="1"/>
    </row>
    <row r="90">
      <c r="D90" s="1"/>
      <c r="E90" s="1"/>
    </row>
    <row r="91">
      <c r="D91" s="1"/>
      <c r="E91" s="1"/>
    </row>
    <row r="92">
      <c r="D92" s="1"/>
      <c r="E92" s="1"/>
    </row>
    <row r="93">
      <c r="D93" s="1"/>
      <c r="E93" s="1"/>
    </row>
    <row r="94">
      <c r="D94" s="1"/>
      <c r="E94" s="1"/>
    </row>
    <row r="95">
      <c r="D95" s="1"/>
      <c r="E95" s="1"/>
    </row>
    <row r="96">
      <c r="D96" s="1"/>
      <c r="E96" s="1"/>
    </row>
    <row r="97">
      <c r="D97" s="1"/>
      <c r="E97" s="1"/>
    </row>
    <row r="98">
      <c r="D98" s="1"/>
      <c r="E98" s="1"/>
    </row>
    <row r="99">
      <c r="D99" s="1"/>
      <c r="E99" s="1"/>
    </row>
    <row r="100">
      <c r="D100" s="1"/>
      <c r="E100" s="1"/>
    </row>
    <row r="101">
      <c r="D101" s="1"/>
      <c r="E101" s="1"/>
    </row>
    <row r="102">
      <c r="D102" s="1"/>
      <c r="E102" s="1"/>
    </row>
    <row r="103">
      <c r="D103" s="1"/>
      <c r="E103" s="1"/>
    </row>
    <row r="104">
      <c r="D104" s="1"/>
      <c r="E104" s="1"/>
    </row>
    <row r="105">
      <c r="D105" s="1"/>
      <c r="E105" s="1"/>
    </row>
    <row r="106">
      <c r="D106" s="1"/>
      <c r="E106" s="1"/>
    </row>
    <row r="107">
      <c r="D107" s="1"/>
      <c r="E107" s="1"/>
    </row>
    <row r="108">
      <c r="D108" s="1"/>
      <c r="E108" s="1"/>
    </row>
    <row r="109">
      <c r="D109" s="1"/>
      <c r="E109" s="1"/>
    </row>
    <row r="110">
      <c r="D110" s="1"/>
      <c r="E110" s="1"/>
    </row>
    <row r="111">
      <c r="D111" s="1"/>
      <c r="E111" s="1"/>
    </row>
    <row r="112">
      <c r="D112" s="1"/>
      <c r="E112" s="1"/>
    </row>
    <row r="113">
      <c r="D113" s="1"/>
      <c r="E113" s="1"/>
    </row>
    <row r="114">
      <c r="D114" s="1"/>
      <c r="E114" s="1"/>
    </row>
    <row r="115">
      <c r="D115" s="1"/>
      <c r="E115" s="1"/>
    </row>
    <row r="116">
      <c r="D116" s="1"/>
      <c r="E116" s="1"/>
    </row>
    <row r="117">
      <c r="D117" s="1"/>
      <c r="E117" s="1"/>
    </row>
    <row r="118">
      <c r="D118" s="1"/>
      <c r="E118" s="1"/>
    </row>
    <row r="119">
      <c r="D119" s="1"/>
      <c r="E119" s="1"/>
    </row>
    <row r="120">
      <c r="D120" s="1"/>
      <c r="E120" s="1"/>
    </row>
    <row r="121">
      <c r="D121" s="1"/>
      <c r="E121" s="1"/>
    </row>
    <row r="122">
      <c r="D122" s="1"/>
      <c r="E122" s="1"/>
    </row>
    <row r="123">
      <c r="D123" s="1"/>
      <c r="E123" s="1"/>
    </row>
    <row r="124">
      <c r="D124" s="1"/>
      <c r="E124" s="1"/>
    </row>
    <row r="125">
      <c r="D125" s="1"/>
      <c r="E125" s="1"/>
    </row>
    <row r="126">
      <c r="D126" s="1"/>
      <c r="E126" s="1"/>
    </row>
    <row r="127">
      <c r="D127" s="1"/>
      <c r="E127" s="1"/>
    </row>
    <row r="128">
      <c r="D128" s="1"/>
      <c r="E128" s="1"/>
    </row>
    <row r="129">
      <c r="D129" s="1"/>
      <c r="E129" s="1"/>
    </row>
    <row r="130">
      <c r="D130" s="1"/>
      <c r="E130" s="1"/>
    </row>
    <row r="131">
      <c r="D131" s="1"/>
      <c r="E131" s="1"/>
    </row>
    <row r="132">
      <c r="D132" s="1"/>
      <c r="E132" s="1"/>
    </row>
    <row r="133">
      <c r="D133" s="1"/>
      <c r="E133" s="1"/>
    </row>
    <row r="134">
      <c r="D134" s="1"/>
      <c r="E134" s="1"/>
    </row>
    <row r="135">
      <c r="D135" s="1"/>
      <c r="E135" s="1"/>
    </row>
    <row r="136">
      <c r="D136" s="1"/>
      <c r="E136" s="1"/>
    </row>
    <row r="137">
      <c r="D137" s="1"/>
      <c r="E137" s="1"/>
    </row>
    <row r="138">
      <c r="D138" s="1"/>
      <c r="E138" s="1"/>
    </row>
    <row r="139">
      <c r="D139" s="1"/>
      <c r="E139" s="1"/>
    </row>
    <row r="140">
      <c r="D140" s="1"/>
      <c r="E140" s="1"/>
    </row>
    <row r="141">
      <c r="D141" s="1"/>
      <c r="E141" s="1"/>
    </row>
    <row r="142">
      <c r="D142" s="1"/>
      <c r="E142" s="1"/>
    </row>
    <row r="143">
      <c r="D143" s="1"/>
      <c r="E143" s="1"/>
    </row>
    <row r="144">
      <c r="D144" s="1"/>
      <c r="E144" s="1"/>
    </row>
    <row r="145">
      <c r="D145" s="1"/>
      <c r="E145" s="1"/>
    </row>
    <row r="146">
      <c r="D146" s="1"/>
      <c r="E146" s="1"/>
    </row>
    <row r="147">
      <c r="D147" s="1"/>
      <c r="E147" s="1"/>
    </row>
    <row r="148">
      <c r="D148" s="1"/>
      <c r="E148" s="1"/>
    </row>
    <row r="149">
      <c r="D149" s="1"/>
      <c r="E149" s="1"/>
    </row>
    <row r="150">
      <c r="D150" s="1"/>
      <c r="E150" s="1"/>
    </row>
    <row r="151">
      <c r="D151" s="1"/>
      <c r="E151" s="1"/>
    </row>
    <row r="152">
      <c r="D152" s="1"/>
      <c r="E152" s="1"/>
    </row>
    <row r="153">
      <c r="D153" s="1"/>
      <c r="E153" s="1"/>
    </row>
    <row r="154">
      <c r="D154" s="1"/>
      <c r="E154" s="1"/>
    </row>
    <row r="155">
      <c r="D155" s="1"/>
      <c r="E155" s="1"/>
    </row>
    <row r="156">
      <c r="D156" s="1"/>
      <c r="E156" s="1"/>
    </row>
    <row r="157">
      <c r="D157" s="1"/>
      <c r="E157" s="1"/>
    </row>
    <row r="158">
      <c r="D158" s="1"/>
      <c r="E158" s="1"/>
    </row>
    <row r="159">
      <c r="D159" s="1"/>
      <c r="E159" s="1"/>
    </row>
    <row r="160">
      <c r="D160" s="1"/>
      <c r="E160" s="1"/>
    </row>
    <row r="161">
      <c r="D161" s="1"/>
      <c r="E161" s="1"/>
    </row>
    <row r="162">
      <c r="D162" s="1"/>
      <c r="E162" s="1"/>
    </row>
    <row r="163">
      <c r="D163" s="1"/>
      <c r="E163" s="1"/>
    </row>
    <row r="164">
      <c r="D164" s="1"/>
      <c r="E164" s="1"/>
    </row>
    <row r="165">
      <c r="D165" s="1"/>
      <c r="E165" s="1"/>
    </row>
    <row r="166">
      <c r="D166" s="1"/>
      <c r="E166" s="1"/>
    </row>
    <row r="167">
      <c r="D167" s="1"/>
      <c r="E167" s="1"/>
    </row>
    <row r="168">
      <c r="D168" s="1"/>
      <c r="E168" s="1"/>
    </row>
    <row r="169">
      <c r="D169" s="1"/>
      <c r="E169" s="1"/>
    </row>
    <row r="170">
      <c r="D170" s="1"/>
      <c r="E170" s="1"/>
    </row>
    <row r="171">
      <c r="D171" s="1"/>
      <c r="E171" s="1"/>
    </row>
    <row r="172">
      <c r="D172" s="1"/>
      <c r="E172" s="1"/>
    </row>
    <row r="173">
      <c r="D173" s="1"/>
      <c r="E173" s="1"/>
    </row>
    <row r="174">
      <c r="D174" s="1"/>
      <c r="E174" s="1"/>
    </row>
    <row r="175">
      <c r="D175" s="1"/>
      <c r="E175" s="1"/>
    </row>
    <row r="176">
      <c r="D176" s="1"/>
      <c r="E176" s="1"/>
    </row>
    <row r="177">
      <c r="D177" s="1"/>
      <c r="E177" s="1"/>
    </row>
    <row r="178">
      <c r="D178" s="1"/>
      <c r="E178" s="1"/>
    </row>
    <row r="179">
      <c r="D179" s="1"/>
      <c r="E179" s="1"/>
    </row>
    <row r="180">
      <c r="D180" s="1"/>
      <c r="E180" s="1"/>
    </row>
    <row r="181">
      <c r="D181" s="1"/>
      <c r="E181" s="1"/>
    </row>
    <row r="182">
      <c r="D182" s="1"/>
      <c r="E182" s="1"/>
    </row>
    <row r="183">
      <c r="D183" s="1"/>
      <c r="E183" s="1"/>
    </row>
    <row r="184">
      <c r="D184" s="1"/>
      <c r="E184" s="1"/>
    </row>
    <row r="185">
      <c r="D185" s="1"/>
      <c r="E185" s="1"/>
    </row>
    <row r="186">
      <c r="D186" s="1"/>
      <c r="E186" s="1"/>
    </row>
    <row r="187">
      <c r="D187" s="1"/>
      <c r="E187" s="1"/>
    </row>
    <row r="188">
      <c r="D188" s="1"/>
      <c r="E188" s="1"/>
    </row>
    <row r="189">
      <c r="D189" s="1"/>
      <c r="E189" s="1"/>
    </row>
    <row r="190">
      <c r="D190" s="1"/>
      <c r="E190" s="1"/>
    </row>
    <row r="191">
      <c r="D191" s="1"/>
      <c r="E191" s="1"/>
    </row>
    <row r="192">
      <c r="D192" s="1"/>
      <c r="E192" s="1"/>
    </row>
    <row r="193">
      <c r="D193" s="1"/>
      <c r="E193" s="1"/>
    </row>
    <row r="194">
      <c r="D194" s="1"/>
      <c r="E194" s="1"/>
    </row>
    <row r="195">
      <c r="D195" s="1"/>
      <c r="E195" s="1"/>
    </row>
    <row r="196">
      <c r="D196" s="1"/>
      <c r="E196" s="1"/>
    </row>
    <row r="197">
      <c r="D197" s="1"/>
      <c r="E197" s="1"/>
    </row>
    <row r="198">
      <c r="D198" s="1"/>
      <c r="E198" s="1"/>
    </row>
    <row r="199">
      <c r="D199" s="1"/>
      <c r="E199" s="1"/>
    </row>
    <row r="200">
      <c r="D200" s="1"/>
      <c r="E200" s="1"/>
    </row>
    <row r="201">
      <c r="D201" s="1"/>
      <c r="E201" s="1"/>
    </row>
    <row r="202">
      <c r="D202" s="1"/>
      <c r="E202" s="1"/>
    </row>
    <row r="203">
      <c r="D203" s="1"/>
      <c r="E203" s="1"/>
    </row>
    <row r="204">
      <c r="D204" s="1"/>
      <c r="E204" s="1"/>
    </row>
    <row r="205">
      <c r="D205" s="1"/>
      <c r="E205" s="1"/>
    </row>
    <row r="206">
      <c r="D206" s="1"/>
      <c r="E206" s="1"/>
    </row>
    <row r="207">
      <c r="D207" s="1"/>
      <c r="E207" s="1"/>
    </row>
    <row r="208">
      <c r="D208" s="1"/>
      <c r="E208" s="1"/>
    </row>
    <row r="209">
      <c r="D209" s="1"/>
      <c r="E209" s="1"/>
    </row>
    <row r="210">
      <c r="D210" s="1"/>
      <c r="E210" s="1"/>
    </row>
    <row r="211">
      <c r="D211" s="1"/>
      <c r="E211" s="1"/>
    </row>
    <row r="212">
      <c r="D212" s="1"/>
      <c r="E212" s="1"/>
    </row>
    <row r="213">
      <c r="D213" s="1"/>
      <c r="E213" s="1"/>
    </row>
    <row r="214">
      <c r="D214" s="1"/>
      <c r="E214" s="1"/>
    </row>
    <row r="215">
      <c r="D215" s="1"/>
      <c r="E215" s="1"/>
    </row>
    <row r="216">
      <c r="D216" s="1"/>
      <c r="E216" s="1"/>
    </row>
    <row r="217">
      <c r="D217" s="1"/>
      <c r="E217" s="1"/>
    </row>
    <row r="218">
      <c r="D218" s="1"/>
      <c r="E218" s="1"/>
    </row>
    <row r="219">
      <c r="D219" s="1"/>
      <c r="E219" s="1"/>
    </row>
    <row r="220">
      <c r="D220" s="1"/>
      <c r="E220" s="1"/>
    </row>
    <row r="221">
      <c r="D221" s="1"/>
      <c r="E221" s="1"/>
    </row>
    <row r="222">
      <c r="D222" s="1"/>
      <c r="E222" s="1"/>
    </row>
    <row r="223">
      <c r="D223" s="1"/>
      <c r="E223" s="1"/>
    </row>
    <row r="224">
      <c r="D224" s="1"/>
      <c r="E224" s="1"/>
    </row>
    <row r="225">
      <c r="D225" s="1"/>
      <c r="E225" s="1"/>
    </row>
    <row r="226">
      <c r="D226" s="1"/>
      <c r="E226" s="1"/>
    </row>
    <row r="227">
      <c r="D227" s="1"/>
      <c r="E227" s="1"/>
    </row>
    <row r="228">
      <c r="D228" s="1"/>
      <c r="E228" s="1"/>
    </row>
    <row r="229">
      <c r="D229" s="1"/>
      <c r="E229" s="1"/>
    </row>
    <row r="230">
      <c r="D230" s="1"/>
      <c r="E230" s="1"/>
    </row>
    <row r="231">
      <c r="D231" s="1"/>
      <c r="E231" s="1"/>
    </row>
    <row r="232">
      <c r="D232" s="1"/>
      <c r="E232" s="1"/>
    </row>
    <row r="233">
      <c r="D233" s="1"/>
      <c r="E233" s="1"/>
    </row>
    <row r="234">
      <c r="D234" s="1"/>
      <c r="E234" s="1"/>
    </row>
    <row r="235">
      <c r="D235" s="1"/>
      <c r="E235" s="1"/>
    </row>
    <row r="236">
      <c r="D236" s="1"/>
      <c r="E236" s="1"/>
    </row>
    <row r="237">
      <c r="D237" s="1"/>
      <c r="E237" s="1"/>
    </row>
    <row r="238">
      <c r="D238" s="1"/>
      <c r="E238" s="1"/>
    </row>
    <row r="239">
      <c r="D239" s="1"/>
      <c r="E239" s="1"/>
    </row>
    <row r="240">
      <c r="D240" s="1"/>
      <c r="E240" s="1"/>
    </row>
    <row r="241">
      <c r="D241" s="1"/>
      <c r="E241" s="1"/>
    </row>
    <row r="242">
      <c r="D242" s="1"/>
      <c r="E242" s="1"/>
    </row>
    <row r="243">
      <c r="D243" s="1"/>
      <c r="E243" s="1"/>
    </row>
    <row r="244">
      <c r="D244" s="1"/>
      <c r="E244" s="1"/>
    </row>
    <row r="245">
      <c r="D245" s="1"/>
      <c r="E245" s="1"/>
    </row>
    <row r="246">
      <c r="D246" s="1"/>
      <c r="E246" s="1"/>
    </row>
    <row r="247">
      <c r="D247" s="1"/>
      <c r="E247" s="1"/>
    </row>
    <row r="248">
      <c r="D248" s="1"/>
      <c r="E248" s="1"/>
    </row>
    <row r="249">
      <c r="D249" s="1"/>
      <c r="E249" s="1"/>
    </row>
    <row r="250">
      <c r="D250" s="1"/>
      <c r="E250" s="1"/>
    </row>
    <row r="251">
      <c r="D251" s="1"/>
      <c r="E251" s="1"/>
    </row>
    <row r="252">
      <c r="D252" s="1"/>
      <c r="E252" s="1"/>
    </row>
    <row r="253">
      <c r="D253" s="1"/>
      <c r="E253" s="1"/>
    </row>
    <row r="254">
      <c r="D254" s="1"/>
      <c r="E254" s="1"/>
    </row>
    <row r="255">
      <c r="D255" s="1"/>
      <c r="E255" s="1"/>
    </row>
    <row r="256">
      <c r="D256" s="1"/>
      <c r="E256" s="1"/>
    </row>
    <row r="257">
      <c r="D257" s="1"/>
      <c r="E257" s="1"/>
    </row>
    <row r="258">
      <c r="D258" s="1"/>
      <c r="E258" s="1"/>
    </row>
    <row r="259">
      <c r="D259" s="1"/>
      <c r="E259" s="1"/>
    </row>
    <row r="260">
      <c r="D260" s="1"/>
      <c r="E260" s="1"/>
    </row>
    <row r="261">
      <c r="D261" s="1"/>
      <c r="E261" s="1"/>
    </row>
    <row r="262">
      <c r="D262" s="1"/>
      <c r="E262" s="1"/>
    </row>
    <row r="263">
      <c r="D263" s="1"/>
      <c r="E263" s="1"/>
    </row>
    <row r="264">
      <c r="D264" s="1"/>
      <c r="E264" s="1"/>
    </row>
    <row r="265">
      <c r="D265" s="1"/>
      <c r="E265" s="1"/>
    </row>
    <row r="266">
      <c r="D266" s="1"/>
      <c r="E266" s="1"/>
    </row>
    <row r="267">
      <c r="D267" s="1"/>
      <c r="E267" s="1"/>
    </row>
    <row r="268">
      <c r="D268" s="1"/>
      <c r="E268" s="1"/>
    </row>
    <row r="269">
      <c r="D269" s="1"/>
      <c r="E269" s="1"/>
    </row>
    <row r="270">
      <c r="D270" s="1"/>
      <c r="E270" s="1"/>
    </row>
    <row r="271">
      <c r="D271" s="1"/>
      <c r="E271" s="1"/>
    </row>
    <row r="272">
      <c r="D272" s="1"/>
      <c r="E272" s="1"/>
    </row>
    <row r="273">
      <c r="D273" s="1"/>
      <c r="E273" s="1"/>
    </row>
    <row r="274">
      <c r="D274" s="1"/>
      <c r="E274" s="1"/>
    </row>
    <row r="275">
      <c r="D275" s="1"/>
      <c r="E275" s="1"/>
    </row>
    <row r="276">
      <c r="D276" s="1"/>
      <c r="E276" s="1"/>
    </row>
    <row r="277">
      <c r="D277" s="1"/>
      <c r="E277" s="1"/>
    </row>
    <row r="278">
      <c r="D278" s="1"/>
      <c r="E278" s="1"/>
    </row>
    <row r="279">
      <c r="D279" s="1"/>
      <c r="E279" s="1"/>
    </row>
    <row r="280">
      <c r="D280" s="1"/>
      <c r="E280" s="1"/>
    </row>
    <row r="281">
      <c r="D281" s="1"/>
      <c r="E281" s="1"/>
    </row>
    <row r="282">
      <c r="D282" s="1"/>
      <c r="E282" s="1"/>
    </row>
    <row r="283">
      <c r="D283" s="1"/>
      <c r="E283" s="1"/>
    </row>
    <row r="284">
      <c r="D284" s="1"/>
      <c r="E284" s="1"/>
    </row>
    <row r="285">
      <c r="D285" s="1"/>
      <c r="E285" s="1"/>
    </row>
    <row r="286">
      <c r="D286" s="1"/>
      <c r="E286" s="1"/>
    </row>
    <row r="287">
      <c r="D287" s="1"/>
      <c r="E287" s="1"/>
    </row>
    <row r="288">
      <c r="D288" s="1"/>
      <c r="E288" s="1"/>
    </row>
    <row r="289">
      <c r="D289" s="1"/>
      <c r="E289" s="1"/>
    </row>
    <row r="290">
      <c r="D290" s="1"/>
      <c r="E290" s="1"/>
    </row>
    <row r="291">
      <c r="D291" s="1"/>
      <c r="E291" s="1"/>
    </row>
    <row r="292">
      <c r="D292" s="1"/>
      <c r="E292" s="1"/>
    </row>
    <row r="293">
      <c r="D293" s="1"/>
      <c r="E293" s="1"/>
    </row>
    <row r="294">
      <c r="D294" s="1"/>
      <c r="E294" s="1"/>
    </row>
    <row r="295">
      <c r="D295" s="1"/>
      <c r="E295" s="1"/>
    </row>
    <row r="296">
      <c r="D296" s="1"/>
      <c r="E296" s="1"/>
    </row>
    <row r="297">
      <c r="D297" s="1"/>
      <c r="E297" s="1"/>
    </row>
    <row r="298">
      <c r="D298" s="1"/>
      <c r="E298" s="1"/>
    </row>
    <row r="299">
      <c r="D299" s="1"/>
      <c r="E299" s="1"/>
    </row>
    <row r="300">
      <c r="D300" s="1"/>
      <c r="E300" s="1"/>
    </row>
    <row r="301">
      <c r="D301" s="1"/>
      <c r="E301" s="1"/>
    </row>
    <row r="302">
      <c r="D302" s="1"/>
      <c r="E302" s="1"/>
    </row>
    <row r="303">
      <c r="D303" s="1"/>
      <c r="E303" s="1"/>
    </row>
    <row r="304">
      <c r="D304" s="1"/>
      <c r="E304" s="1"/>
    </row>
    <row r="305">
      <c r="D305" s="1"/>
      <c r="E305" s="1"/>
    </row>
    <row r="306">
      <c r="D306" s="1"/>
      <c r="E306" s="1"/>
    </row>
    <row r="307">
      <c r="D307" s="1"/>
      <c r="E307" s="1"/>
    </row>
    <row r="308">
      <c r="D308" s="1"/>
      <c r="E308" s="1"/>
    </row>
    <row r="309">
      <c r="D309" s="1"/>
      <c r="E309" s="1"/>
    </row>
    <row r="310">
      <c r="D310" s="1"/>
      <c r="E310" s="1"/>
    </row>
    <row r="311">
      <c r="D311" s="1"/>
      <c r="E311" s="1"/>
    </row>
    <row r="312">
      <c r="D312" s="1"/>
      <c r="E312" s="1"/>
    </row>
    <row r="313">
      <c r="D313" s="1"/>
      <c r="E313" s="1"/>
    </row>
    <row r="314">
      <c r="D314" s="1"/>
      <c r="E314" s="1"/>
    </row>
    <row r="315">
      <c r="D315" s="1"/>
      <c r="E315" s="1"/>
    </row>
    <row r="316">
      <c r="D316" s="1"/>
      <c r="E316" s="1"/>
    </row>
    <row r="317">
      <c r="D317" s="1"/>
      <c r="E317" s="1"/>
    </row>
    <row r="318">
      <c r="D318" s="1"/>
      <c r="E318" s="1"/>
    </row>
    <row r="319">
      <c r="D319" s="1"/>
      <c r="E319" s="1"/>
    </row>
    <row r="320">
      <c r="D320" s="1"/>
      <c r="E320" s="1"/>
    </row>
    <row r="321">
      <c r="D321" s="1"/>
      <c r="E321" s="1"/>
    </row>
    <row r="322">
      <c r="D322" s="1"/>
      <c r="E322" s="1"/>
    </row>
    <row r="323">
      <c r="D323" s="1"/>
      <c r="E323" s="1"/>
    </row>
    <row r="324">
      <c r="D324" s="1"/>
      <c r="E324" s="1"/>
    </row>
    <row r="325">
      <c r="D325" s="1"/>
      <c r="E325" s="1"/>
    </row>
    <row r="326">
      <c r="D326" s="1"/>
      <c r="E326" s="1"/>
    </row>
    <row r="327">
      <c r="D327" s="1"/>
      <c r="E327" s="1"/>
    </row>
    <row r="328">
      <c r="D328" s="1"/>
      <c r="E328" s="1"/>
    </row>
    <row r="329">
      <c r="D329" s="1"/>
      <c r="E329" s="1"/>
    </row>
    <row r="330">
      <c r="D330" s="1"/>
      <c r="E330" s="1"/>
    </row>
    <row r="331">
      <c r="D331" s="1"/>
      <c r="E331" s="1"/>
    </row>
    <row r="332">
      <c r="D332" s="1"/>
      <c r="E332" s="1"/>
    </row>
    <row r="333">
      <c r="D333" s="1"/>
      <c r="E333" s="1"/>
    </row>
    <row r="334">
      <c r="D334" s="1"/>
      <c r="E334" s="1"/>
    </row>
    <row r="335">
      <c r="D335" s="1"/>
      <c r="E335" s="1"/>
    </row>
    <row r="336">
      <c r="D336" s="1"/>
      <c r="E336" s="1"/>
    </row>
    <row r="337">
      <c r="D337" s="1"/>
      <c r="E337" s="1"/>
    </row>
    <row r="338">
      <c r="D338" s="1"/>
      <c r="E338" s="1"/>
    </row>
    <row r="339">
      <c r="D339" s="1"/>
      <c r="E339" s="1"/>
    </row>
    <row r="340">
      <c r="D340" s="1"/>
      <c r="E340" s="1"/>
    </row>
    <row r="341">
      <c r="D341" s="1"/>
      <c r="E341" s="1"/>
    </row>
    <row r="342">
      <c r="D342" s="1"/>
      <c r="E342" s="1"/>
    </row>
    <row r="343">
      <c r="D343" s="1"/>
      <c r="E343" s="1"/>
    </row>
    <row r="344">
      <c r="D344" s="1"/>
      <c r="E344" s="1"/>
    </row>
    <row r="345">
      <c r="D345" s="1"/>
      <c r="E345" s="1"/>
    </row>
    <row r="346">
      <c r="D346" s="1"/>
      <c r="E346" s="1"/>
    </row>
    <row r="347">
      <c r="D347" s="1"/>
      <c r="E347" s="1"/>
    </row>
    <row r="348">
      <c r="D348" s="1"/>
      <c r="E348" s="1"/>
    </row>
    <row r="349">
      <c r="D349" s="1"/>
      <c r="E349" s="1"/>
    </row>
    <row r="350">
      <c r="D350" s="1"/>
      <c r="E350" s="1"/>
    </row>
    <row r="351">
      <c r="D351" s="1"/>
      <c r="E351" s="1"/>
    </row>
    <row r="352">
      <c r="D352" s="1"/>
      <c r="E352" s="1"/>
    </row>
    <row r="353">
      <c r="D353" s="1"/>
      <c r="E353" s="1"/>
    </row>
    <row r="354">
      <c r="D354" s="1"/>
      <c r="E354" s="1"/>
    </row>
    <row r="355">
      <c r="D355" s="1"/>
      <c r="E355" s="1"/>
    </row>
    <row r="356">
      <c r="D356" s="1"/>
      <c r="E356" s="1"/>
    </row>
    <row r="357">
      <c r="D357" s="1"/>
      <c r="E357" s="1"/>
    </row>
    <row r="358">
      <c r="D358" s="1"/>
      <c r="E358" s="1"/>
    </row>
    <row r="359">
      <c r="D359" s="1"/>
      <c r="E359" s="1"/>
    </row>
    <row r="360">
      <c r="D360" s="1"/>
      <c r="E360" s="1"/>
    </row>
    <row r="361">
      <c r="D361" s="1"/>
      <c r="E361" s="1"/>
    </row>
    <row r="362">
      <c r="D362" s="1"/>
      <c r="E362" s="1"/>
    </row>
    <row r="363">
      <c r="D363" s="1"/>
      <c r="E363" s="1"/>
    </row>
    <row r="364">
      <c r="D364" s="1"/>
      <c r="E364" s="1"/>
    </row>
    <row r="365">
      <c r="D365" s="1"/>
      <c r="E365" s="1"/>
    </row>
    <row r="366">
      <c r="D366" s="1"/>
      <c r="E366" s="1"/>
    </row>
    <row r="367">
      <c r="D367" s="1"/>
      <c r="E367" s="1"/>
    </row>
    <row r="368">
      <c r="D368" s="1"/>
      <c r="E368" s="1"/>
    </row>
    <row r="369">
      <c r="D369" s="1"/>
      <c r="E369" s="1"/>
    </row>
    <row r="370">
      <c r="D370" s="1"/>
      <c r="E370" s="1"/>
    </row>
    <row r="371">
      <c r="D371" s="1"/>
      <c r="E371" s="1"/>
    </row>
    <row r="372">
      <c r="D372" s="1"/>
      <c r="E372" s="1"/>
    </row>
    <row r="373">
      <c r="D373" s="1"/>
      <c r="E373" s="1"/>
    </row>
    <row r="374">
      <c r="D374" s="1"/>
      <c r="E374" s="1"/>
    </row>
    <row r="375">
      <c r="D375" s="1"/>
      <c r="E375" s="1"/>
    </row>
    <row r="376">
      <c r="D376" s="1"/>
      <c r="E376" s="1"/>
    </row>
    <row r="377">
      <c r="D377" s="1"/>
      <c r="E377" s="1"/>
    </row>
    <row r="378">
      <c r="D378" s="1"/>
      <c r="E378" s="1"/>
    </row>
    <row r="379">
      <c r="D379" s="1"/>
      <c r="E379" s="1"/>
    </row>
    <row r="380">
      <c r="D380" s="1"/>
      <c r="E380" s="1"/>
    </row>
    <row r="381">
      <c r="D381" s="1"/>
      <c r="E381" s="1"/>
    </row>
    <row r="382">
      <c r="D382" s="1"/>
      <c r="E382" s="1"/>
    </row>
    <row r="383">
      <c r="D383" s="1"/>
      <c r="E383" s="1"/>
    </row>
    <row r="384">
      <c r="D384" s="1"/>
      <c r="E384" s="1"/>
    </row>
    <row r="385">
      <c r="D385" s="1"/>
      <c r="E385" s="1"/>
    </row>
    <row r="386">
      <c r="D386" s="1"/>
      <c r="E386" s="1"/>
    </row>
    <row r="387">
      <c r="D387" s="1"/>
      <c r="E387" s="1"/>
    </row>
    <row r="388">
      <c r="D388" s="1"/>
      <c r="E388" s="1"/>
    </row>
    <row r="389">
      <c r="D389" s="1"/>
      <c r="E389" s="1"/>
    </row>
    <row r="390">
      <c r="D390" s="1"/>
      <c r="E390" s="1"/>
    </row>
    <row r="391">
      <c r="D391" s="1"/>
      <c r="E391" s="1"/>
    </row>
    <row r="392">
      <c r="D392" s="1"/>
      <c r="E392" s="1"/>
    </row>
    <row r="393">
      <c r="D393" s="1"/>
      <c r="E393" s="1"/>
    </row>
    <row r="394">
      <c r="D394" s="1"/>
      <c r="E394" s="1"/>
    </row>
    <row r="395">
      <c r="D395" s="1"/>
      <c r="E395" s="1"/>
    </row>
    <row r="396">
      <c r="D396" s="1"/>
      <c r="E396" s="1"/>
    </row>
    <row r="397">
      <c r="D397" s="1"/>
      <c r="E397" s="1"/>
    </row>
    <row r="398">
      <c r="D398" s="1"/>
      <c r="E398" s="1"/>
    </row>
    <row r="399">
      <c r="D399" s="1"/>
      <c r="E399" s="1"/>
    </row>
    <row r="400">
      <c r="D400" s="1"/>
      <c r="E400" s="1"/>
    </row>
    <row r="401">
      <c r="D401" s="1"/>
      <c r="E401" s="1"/>
    </row>
    <row r="402">
      <c r="D402" s="1"/>
      <c r="E402" s="1"/>
    </row>
    <row r="403">
      <c r="D403" s="1"/>
      <c r="E403" s="1"/>
    </row>
    <row r="404">
      <c r="D404" s="1"/>
      <c r="E404" s="1"/>
    </row>
    <row r="405">
      <c r="D405" s="1"/>
      <c r="E405" s="1"/>
    </row>
    <row r="406">
      <c r="D406" s="1"/>
      <c r="E406" s="1"/>
    </row>
    <row r="407">
      <c r="D407" s="1"/>
      <c r="E407" s="1"/>
    </row>
    <row r="408">
      <c r="D408" s="1"/>
      <c r="E408" s="1"/>
    </row>
    <row r="409">
      <c r="D409" s="1"/>
      <c r="E409" s="1"/>
    </row>
    <row r="410">
      <c r="D410" s="1"/>
      <c r="E410" s="1"/>
    </row>
    <row r="411">
      <c r="D411" s="1"/>
      <c r="E411" s="1"/>
    </row>
    <row r="412">
      <c r="D412" s="1"/>
      <c r="E412" s="1"/>
    </row>
    <row r="413">
      <c r="D413" s="1"/>
      <c r="E413" s="1"/>
    </row>
    <row r="414">
      <c r="D414" s="1"/>
      <c r="E414" s="1"/>
    </row>
    <row r="415">
      <c r="D415" s="1"/>
      <c r="E415" s="1"/>
    </row>
    <row r="416">
      <c r="D416" s="1"/>
      <c r="E416" s="1"/>
    </row>
    <row r="417">
      <c r="D417" s="1"/>
      <c r="E417" s="1"/>
    </row>
    <row r="418">
      <c r="D418" s="1"/>
      <c r="E418" s="1"/>
    </row>
    <row r="419">
      <c r="D419" s="1"/>
      <c r="E419" s="1"/>
    </row>
    <row r="420">
      <c r="D420" s="1"/>
      <c r="E420" s="1"/>
    </row>
    <row r="421">
      <c r="D421" s="1"/>
      <c r="E421" s="1"/>
    </row>
    <row r="422">
      <c r="D422" s="1"/>
      <c r="E422" s="1"/>
    </row>
    <row r="423">
      <c r="D423" s="1"/>
      <c r="E423" s="1"/>
    </row>
    <row r="424">
      <c r="D424" s="1"/>
      <c r="E424" s="1"/>
    </row>
    <row r="425">
      <c r="D425" s="1"/>
      <c r="E425" s="1"/>
    </row>
    <row r="426">
      <c r="D426" s="1"/>
      <c r="E426" s="1"/>
    </row>
    <row r="427">
      <c r="D427" s="1"/>
      <c r="E427" s="1"/>
    </row>
    <row r="428">
      <c r="D428" s="1"/>
      <c r="E428" s="1"/>
    </row>
    <row r="429">
      <c r="D429" s="1"/>
      <c r="E429" s="1"/>
    </row>
    <row r="430">
      <c r="D430" s="1"/>
      <c r="E430" s="1"/>
    </row>
    <row r="431">
      <c r="D431" s="1"/>
      <c r="E431" s="1"/>
    </row>
    <row r="432">
      <c r="D432" s="1"/>
      <c r="E432" s="1"/>
    </row>
    <row r="433">
      <c r="D433" s="1"/>
      <c r="E433" s="1"/>
    </row>
    <row r="434">
      <c r="D434" s="1"/>
      <c r="E434" s="1"/>
    </row>
    <row r="435">
      <c r="D435" s="1"/>
      <c r="E435" s="1"/>
    </row>
    <row r="436">
      <c r="D436" s="1"/>
      <c r="E436" s="1"/>
    </row>
    <row r="437">
      <c r="D437" s="1"/>
      <c r="E437" s="1"/>
    </row>
    <row r="438">
      <c r="D438" s="1"/>
      <c r="E438" s="1"/>
    </row>
    <row r="439">
      <c r="D439" s="1"/>
      <c r="E439" s="1"/>
    </row>
    <row r="440">
      <c r="D440" s="1"/>
      <c r="E440" s="1"/>
    </row>
    <row r="441">
      <c r="D441" s="1"/>
      <c r="E441" s="1"/>
    </row>
    <row r="442">
      <c r="D442" s="1"/>
      <c r="E442" s="1"/>
    </row>
    <row r="443">
      <c r="D443" s="1"/>
      <c r="E443" s="1"/>
    </row>
    <row r="444">
      <c r="D444" s="1"/>
      <c r="E444" s="1"/>
    </row>
    <row r="445">
      <c r="D445" s="1"/>
      <c r="E445" s="1"/>
    </row>
    <row r="446">
      <c r="D446" s="1"/>
      <c r="E446" s="1"/>
    </row>
    <row r="447">
      <c r="D447" s="1"/>
      <c r="E447" s="1"/>
    </row>
    <row r="448">
      <c r="D448" s="1"/>
      <c r="E448" s="1"/>
    </row>
    <row r="449">
      <c r="D449" s="1"/>
      <c r="E449" s="1"/>
    </row>
    <row r="450">
      <c r="D450" s="1"/>
      <c r="E450" s="1"/>
    </row>
    <row r="451">
      <c r="D451" s="1"/>
      <c r="E451" s="1"/>
    </row>
    <row r="452">
      <c r="D452" s="1"/>
      <c r="E452" s="1"/>
    </row>
    <row r="453">
      <c r="D453" s="1"/>
      <c r="E453" s="1"/>
    </row>
    <row r="454">
      <c r="D454" s="1"/>
      <c r="E454" s="1"/>
    </row>
    <row r="455">
      <c r="D455" s="1"/>
      <c r="E455" s="1"/>
    </row>
    <row r="456">
      <c r="D456" s="1"/>
      <c r="E456" s="1"/>
    </row>
    <row r="457">
      <c r="D457" s="1"/>
      <c r="E457" s="1"/>
    </row>
    <row r="458">
      <c r="D458" s="1"/>
      <c r="E458" s="1"/>
    </row>
    <row r="459">
      <c r="D459" s="1"/>
      <c r="E459" s="1"/>
    </row>
    <row r="460">
      <c r="D460" s="1"/>
      <c r="E460" s="1"/>
    </row>
    <row r="461">
      <c r="D461" s="1"/>
      <c r="E461" s="1"/>
    </row>
    <row r="462">
      <c r="D462" s="1"/>
      <c r="E462" s="1"/>
    </row>
    <row r="463">
      <c r="D463" s="1"/>
      <c r="E463" s="1"/>
    </row>
    <row r="464">
      <c r="D464" s="1"/>
      <c r="E464" s="1"/>
    </row>
    <row r="465">
      <c r="D465" s="1"/>
      <c r="E465" s="1"/>
    </row>
    <row r="466">
      <c r="D466" s="1"/>
      <c r="E466" s="1"/>
    </row>
    <row r="467">
      <c r="D467" s="1"/>
      <c r="E467" s="1"/>
    </row>
    <row r="468">
      <c r="D468" s="1"/>
      <c r="E468" s="1"/>
    </row>
    <row r="469">
      <c r="D469" s="1"/>
      <c r="E469" s="1"/>
    </row>
    <row r="470">
      <c r="D470" s="1"/>
      <c r="E470" s="1"/>
    </row>
    <row r="471">
      <c r="D471" s="1"/>
      <c r="E471" s="1"/>
    </row>
    <row r="472">
      <c r="D472" s="1"/>
      <c r="E472" s="1"/>
    </row>
    <row r="473">
      <c r="D473" s="1"/>
      <c r="E473" s="1"/>
    </row>
    <row r="474">
      <c r="D474" s="1"/>
      <c r="E474" s="1"/>
    </row>
    <row r="475">
      <c r="D475" s="1"/>
      <c r="E475" s="1"/>
    </row>
    <row r="476">
      <c r="D476" s="1"/>
      <c r="E476" s="1"/>
    </row>
    <row r="477">
      <c r="D477" s="1"/>
      <c r="E477" s="1"/>
    </row>
    <row r="478">
      <c r="D478" s="1"/>
      <c r="E478" s="1"/>
    </row>
    <row r="479">
      <c r="D479" s="1"/>
      <c r="E479" s="1"/>
    </row>
    <row r="480">
      <c r="D480" s="1"/>
      <c r="E480" s="1"/>
    </row>
    <row r="481">
      <c r="D481" s="1"/>
      <c r="E481" s="1"/>
    </row>
    <row r="482">
      <c r="D482" s="1"/>
      <c r="E482" s="1"/>
    </row>
    <row r="483">
      <c r="D483" s="1"/>
      <c r="E483" s="1"/>
    </row>
    <row r="484">
      <c r="D484" s="1"/>
      <c r="E484" s="1"/>
    </row>
    <row r="485">
      <c r="D485" s="1"/>
      <c r="E485" s="1"/>
    </row>
    <row r="486">
      <c r="D486" s="1"/>
      <c r="E486" s="1"/>
    </row>
    <row r="487">
      <c r="D487" s="1"/>
      <c r="E487" s="1"/>
    </row>
    <row r="488">
      <c r="D488" s="1"/>
      <c r="E488" s="1"/>
    </row>
    <row r="489">
      <c r="D489" s="1"/>
      <c r="E489" s="1"/>
    </row>
    <row r="490">
      <c r="D490" s="1"/>
      <c r="E490" s="1"/>
    </row>
    <row r="491">
      <c r="D491" s="1"/>
      <c r="E491" s="1"/>
    </row>
    <row r="492">
      <c r="D492" s="1"/>
      <c r="E492" s="1"/>
    </row>
    <row r="493">
      <c r="D493" s="1"/>
      <c r="E493" s="1"/>
    </row>
    <row r="494">
      <c r="D494" s="1"/>
      <c r="E494" s="1"/>
    </row>
    <row r="495">
      <c r="D495" s="1"/>
      <c r="E495" s="1"/>
    </row>
    <row r="496">
      <c r="D496" s="1"/>
      <c r="E496" s="1"/>
    </row>
    <row r="497">
      <c r="D497" s="1"/>
      <c r="E497" s="1"/>
    </row>
    <row r="498">
      <c r="D498" s="1"/>
      <c r="E498" s="1"/>
    </row>
    <row r="499">
      <c r="D499" s="1"/>
      <c r="E499" s="1"/>
    </row>
    <row r="500">
      <c r="D500" s="1"/>
      <c r="E500" s="1"/>
    </row>
    <row r="501">
      <c r="D501" s="1"/>
      <c r="E501" s="1"/>
    </row>
    <row r="502">
      <c r="D502" s="1"/>
      <c r="E502" s="1"/>
    </row>
    <row r="503">
      <c r="D503" s="1"/>
      <c r="E503" s="1"/>
    </row>
    <row r="504">
      <c r="D504" s="1"/>
      <c r="E504" s="1"/>
    </row>
    <row r="505">
      <c r="D505" s="1"/>
      <c r="E505" s="1"/>
    </row>
    <row r="506">
      <c r="D506" s="1"/>
      <c r="E506" s="1"/>
    </row>
    <row r="507">
      <c r="D507" s="1"/>
      <c r="E507" s="1"/>
    </row>
    <row r="508">
      <c r="D508" s="1"/>
      <c r="E508" s="1"/>
    </row>
    <row r="509">
      <c r="D509" s="1"/>
      <c r="E509" s="1"/>
    </row>
    <row r="510">
      <c r="D510" s="1"/>
      <c r="E510" s="1"/>
    </row>
    <row r="511">
      <c r="D511" s="1"/>
      <c r="E511" s="1"/>
    </row>
    <row r="512">
      <c r="D512" s="1"/>
      <c r="E512" s="1"/>
    </row>
    <row r="513">
      <c r="D513" s="1"/>
      <c r="E513" s="1"/>
    </row>
    <row r="514">
      <c r="D514" s="1"/>
      <c r="E514" s="1"/>
    </row>
    <row r="515">
      <c r="D515" s="1"/>
      <c r="E515" s="1"/>
    </row>
    <row r="516">
      <c r="D516" s="1"/>
      <c r="E516" s="1"/>
    </row>
    <row r="517">
      <c r="D517" s="1"/>
      <c r="E517" s="1"/>
    </row>
    <row r="518">
      <c r="D518" s="1"/>
      <c r="E518" s="1"/>
    </row>
    <row r="519">
      <c r="D519" s="1"/>
      <c r="E519" s="1"/>
    </row>
    <row r="520">
      <c r="D520" s="1"/>
      <c r="E520" s="1"/>
    </row>
    <row r="521">
      <c r="D521" s="1"/>
      <c r="E521" s="1"/>
    </row>
    <row r="522">
      <c r="D522" s="1"/>
      <c r="E522" s="1"/>
    </row>
    <row r="523">
      <c r="D523" s="1"/>
      <c r="E523" s="1"/>
    </row>
    <row r="524">
      <c r="D524" s="1"/>
      <c r="E524" s="1"/>
    </row>
    <row r="525">
      <c r="D525" s="1"/>
      <c r="E525" s="1"/>
    </row>
    <row r="526">
      <c r="D526" s="1"/>
      <c r="E526" s="1"/>
    </row>
    <row r="527">
      <c r="D527" s="1"/>
      <c r="E527" s="1"/>
    </row>
    <row r="528">
      <c r="D528" s="1"/>
      <c r="E528" s="1"/>
    </row>
    <row r="529">
      <c r="D529" s="1"/>
      <c r="E529" s="1"/>
    </row>
    <row r="530">
      <c r="D530" s="1"/>
      <c r="E530" s="1"/>
    </row>
    <row r="531">
      <c r="D531" s="1"/>
      <c r="E531" s="1"/>
    </row>
    <row r="532">
      <c r="D532" s="1"/>
      <c r="E532" s="1"/>
    </row>
    <row r="533">
      <c r="D533" s="1"/>
      <c r="E533" s="1"/>
    </row>
    <row r="534">
      <c r="D534" s="1"/>
      <c r="E534" s="1"/>
    </row>
    <row r="535">
      <c r="D535" s="1"/>
      <c r="E535" s="1"/>
    </row>
    <row r="536">
      <c r="D536" s="1"/>
      <c r="E536" s="1"/>
    </row>
    <row r="537">
      <c r="D537" s="1"/>
      <c r="E537" s="1"/>
    </row>
    <row r="538">
      <c r="D538" s="1"/>
      <c r="E538" s="1"/>
    </row>
    <row r="539">
      <c r="D539" s="1"/>
      <c r="E539" s="1"/>
    </row>
    <row r="540">
      <c r="D540" s="1"/>
      <c r="E540" s="1"/>
    </row>
    <row r="541">
      <c r="D541" s="1"/>
      <c r="E541" s="1"/>
    </row>
    <row r="542">
      <c r="D542" s="1"/>
      <c r="E542" s="1"/>
    </row>
    <row r="543">
      <c r="D543" s="1"/>
      <c r="E543" s="1"/>
    </row>
    <row r="544">
      <c r="D544" s="1"/>
      <c r="E544" s="1"/>
    </row>
    <row r="545">
      <c r="D545" s="1"/>
      <c r="E545" s="1"/>
    </row>
    <row r="546">
      <c r="D546" s="1"/>
      <c r="E546" s="1"/>
    </row>
    <row r="547">
      <c r="D547" s="1"/>
      <c r="E547" s="1"/>
    </row>
    <row r="548">
      <c r="D548" s="1"/>
      <c r="E548" s="1"/>
    </row>
    <row r="549">
      <c r="D549" s="1"/>
      <c r="E549" s="1"/>
    </row>
    <row r="550">
      <c r="D550" s="1"/>
      <c r="E550" s="1"/>
    </row>
    <row r="551">
      <c r="D551" s="1"/>
      <c r="E551" s="1"/>
    </row>
    <row r="552">
      <c r="D552" s="1"/>
      <c r="E552" s="1"/>
    </row>
    <row r="553">
      <c r="D553" s="1"/>
      <c r="E553" s="1"/>
    </row>
    <row r="554">
      <c r="D554" s="1"/>
      <c r="E554" s="1"/>
    </row>
    <row r="555">
      <c r="D555" s="1"/>
      <c r="E555" s="1"/>
    </row>
    <row r="556">
      <c r="D556" s="1"/>
      <c r="E556" s="1"/>
    </row>
    <row r="557">
      <c r="D557" s="1"/>
      <c r="E557" s="1"/>
    </row>
    <row r="558">
      <c r="D558" s="1"/>
      <c r="E558" s="1"/>
    </row>
    <row r="559">
      <c r="D559" s="1"/>
      <c r="E559" s="1"/>
    </row>
    <row r="560">
      <c r="D560" s="1"/>
      <c r="E560" s="1"/>
    </row>
    <row r="561">
      <c r="D561" s="1"/>
      <c r="E561" s="1"/>
    </row>
    <row r="562">
      <c r="D562" s="1"/>
      <c r="E562" s="1"/>
    </row>
    <row r="563">
      <c r="D563" s="1"/>
      <c r="E563" s="1"/>
    </row>
    <row r="564">
      <c r="D564" s="1"/>
      <c r="E564" s="1"/>
    </row>
    <row r="565">
      <c r="D565" s="1"/>
      <c r="E565" s="1"/>
    </row>
    <row r="566">
      <c r="D566" s="1"/>
      <c r="E566" s="1"/>
    </row>
    <row r="567">
      <c r="D567" s="1"/>
      <c r="E567" s="1"/>
    </row>
    <row r="568">
      <c r="D568" s="1"/>
      <c r="E568" s="1"/>
    </row>
    <row r="569">
      <c r="D569" s="1"/>
      <c r="E569" s="1"/>
    </row>
    <row r="570">
      <c r="D570" s="1"/>
      <c r="E570" s="1"/>
    </row>
    <row r="571">
      <c r="D571" s="1"/>
      <c r="E571" s="1"/>
    </row>
    <row r="572">
      <c r="D572" s="1"/>
      <c r="E572" s="1"/>
    </row>
    <row r="573">
      <c r="D573" s="1"/>
      <c r="E573" s="1"/>
    </row>
    <row r="574">
      <c r="D574" s="1"/>
      <c r="E574" s="1"/>
    </row>
    <row r="575">
      <c r="D575" s="1"/>
      <c r="E575" s="1"/>
    </row>
    <row r="576">
      <c r="D576" s="1"/>
      <c r="E576" s="1"/>
    </row>
    <row r="577">
      <c r="D577" s="1"/>
      <c r="E577" s="1"/>
    </row>
    <row r="578">
      <c r="D578" s="1"/>
      <c r="E578" s="1"/>
    </row>
    <row r="579">
      <c r="D579" s="1"/>
      <c r="E579" s="1"/>
    </row>
    <row r="580">
      <c r="D580" s="1"/>
      <c r="E580" s="1"/>
    </row>
    <row r="581">
      <c r="D581" s="1"/>
      <c r="E581" s="1"/>
    </row>
    <row r="582">
      <c r="D582" s="1"/>
      <c r="E582" s="1"/>
    </row>
    <row r="583">
      <c r="D583" s="1"/>
      <c r="E583" s="1"/>
    </row>
    <row r="584">
      <c r="D584" s="1"/>
      <c r="E584" s="1"/>
    </row>
    <row r="585">
      <c r="D585" s="1"/>
      <c r="E585" s="1"/>
    </row>
    <row r="586">
      <c r="D586" s="1"/>
      <c r="E586" s="1"/>
    </row>
    <row r="587">
      <c r="D587" s="1"/>
      <c r="E587" s="1"/>
    </row>
    <row r="588">
      <c r="D588" s="1"/>
      <c r="E588" s="1"/>
    </row>
    <row r="589">
      <c r="D589" s="1"/>
      <c r="E589" s="1"/>
    </row>
    <row r="590">
      <c r="D590" s="1"/>
      <c r="E590" s="1"/>
    </row>
    <row r="591">
      <c r="D591" s="1"/>
      <c r="E591" s="1"/>
    </row>
    <row r="592">
      <c r="D592" s="1"/>
      <c r="E592" s="1"/>
    </row>
    <row r="593">
      <c r="D593" s="1"/>
      <c r="E593" s="1"/>
    </row>
    <row r="594">
      <c r="D594" s="1"/>
      <c r="E594" s="1"/>
    </row>
    <row r="595">
      <c r="D595" s="1"/>
      <c r="E595" s="1"/>
    </row>
    <row r="596">
      <c r="D596" s="1"/>
      <c r="E596" s="1"/>
    </row>
    <row r="597">
      <c r="D597" s="1"/>
      <c r="E597" s="1"/>
    </row>
    <row r="598">
      <c r="D598" s="1"/>
      <c r="E598" s="1"/>
    </row>
    <row r="599">
      <c r="D599" s="1"/>
      <c r="E599" s="1"/>
    </row>
    <row r="600">
      <c r="D600" s="1"/>
      <c r="E600" s="1"/>
    </row>
    <row r="601">
      <c r="D601" s="1"/>
      <c r="E601" s="1"/>
    </row>
    <row r="602">
      <c r="D602" s="1"/>
      <c r="E602" s="1"/>
    </row>
    <row r="603">
      <c r="D603" s="1"/>
      <c r="E603" s="1"/>
    </row>
    <row r="604">
      <c r="D604" s="1"/>
      <c r="E604" s="1"/>
    </row>
    <row r="605">
      <c r="D605" s="1"/>
      <c r="E605" s="1"/>
    </row>
    <row r="606">
      <c r="D606" s="1"/>
      <c r="E606" s="1"/>
    </row>
    <row r="607">
      <c r="D607" s="1"/>
      <c r="E607" s="1"/>
    </row>
    <row r="608">
      <c r="D608" s="1"/>
      <c r="E608" s="1"/>
    </row>
    <row r="609">
      <c r="D609" s="1"/>
      <c r="E609" s="1"/>
    </row>
    <row r="610">
      <c r="D610" s="1"/>
      <c r="E610" s="1"/>
    </row>
    <row r="611">
      <c r="D611" s="1"/>
      <c r="E611" s="1"/>
    </row>
    <row r="612">
      <c r="D612" s="1"/>
      <c r="E612" s="1"/>
    </row>
    <row r="613">
      <c r="D613" s="1"/>
      <c r="E613" s="1"/>
    </row>
    <row r="614">
      <c r="D614" s="1"/>
      <c r="E614" s="1"/>
    </row>
    <row r="615">
      <c r="D615" s="1"/>
      <c r="E615" s="1"/>
    </row>
    <row r="616">
      <c r="D616" s="1"/>
      <c r="E616" s="1"/>
    </row>
    <row r="617">
      <c r="D617" s="1"/>
      <c r="E617" s="1"/>
    </row>
    <row r="618">
      <c r="D618" s="1"/>
      <c r="E618" s="1"/>
    </row>
    <row r="619">
      <c r="D619" s="1"/>
      <c r="E619" s="1"/>
    </row>
    <row r="620">
      <c r="D620" s="1"/>
      <c r="E620" s="1"/>
    </row>
    <row r="621">
      <c r="D621" s="1"/>
      <c r="E621" s="1"/>
    </row>
    <row r="622">
      <c r="D622" s="1"/>
      <c r="E622" s="1"/>
    </row>
    <row r="623">
      <c r="D623" s="1"/>
      <c r="E623" s="1"/>
    </row>
    <row r="624">
      <c r="D624" s="1"/>
      <c r="E624" s="1"/>
    </row>
    <row r="625">
      <c r="D625" s="1"/>
      <c r="E625" s="1"/>
    </row>
    <row r="626">
      <c r="D626" s="1"/>
      <c r="E626" s="1"/>
    </row>
    <row r="627">
      <c r="D627" s="1"/>
      <c r="E627" s="1"/>
    </row>
    <row r="628">
      <c r="D628" s="1"/>
      <c r="E628" s="1"/>
    </row>
    <row r="629">
      <c r="D629" s="1"/>
      <c r="E629" s="1"/>
    </row>
    <row r="630">
      <c r="D630" s="1"/>
      <c r="E630" s="1"/>
    </row>
    <row r="631">
      <c r="D631" s="1"/>
      <c r="E631" s="1"/>
    </row>
    <row r="632">
      <c r="D632" s="1"/>
      <c r="E632" s="1"/>
    </row>
    <row r="633">
      <c r="D633" s="1"/>
      <c r="E633" s="1"/>
    </row>
    <row r="634">
      <c r="D634" s="1"/>
      <c r="E634" s="1"/>
    </row>
    <row r="635">
      <c r="D635" s="1"/>
      <c r="E635" s="1"/>
    </row>
    <row r="636">
      <c r="D636" s="1"/>
      <c r="E636" s="1"/>
    </row>
    <row r="637">
      <c r="D637" s="1"/>
      <c r="E637" s="1"/>
    </row>
    <row r="638">
      <c r="D638" s="1"/>
      <c r="E638" s="1"/>
    </row>
    <row r="639">
      <c r="D639" s="1"/>
      <c r="E639" s="1"/>
    </row>
    <row r="640">
      <c r="D640" s="1"/>
      <c r="E640" s="1"/>
    </row>
    <row r="641">
      <c r="D641" s="1"/>
      <c r="E641" s="1"/>
    </row>
    <row r="642">
      <c r="D642" s="1"/>
      <c r="E642" s="1"/>
    </row>
    <row r="643">
      <c r="D643" s="1"/>
      <c r="E643" s="1"/>
    </row>
    <row r="644">
      <c r="D644" s="1"/>
      <c r="E644" s="1"/>
    </row>
    <row r="645">
      <c r="D645" s="1"/>
      <c r="E645" s="1"/>
    </row>
    <row r="646">
      <c r="D646" s="1"/>
      <c r="E646" s="1"/>
    </row>
    <row r="647">
      <c r="D647" s="1"/>
      <c r="E647" s="1"/>
    </row>
    <row r="648">
      <c r="D648" s="1"/>
      <c r="E648" s="1"/>
    </row>
    <row r="649">
      <c r="D649" s="1"/>
      <c r="E649" s="1"/>
    </row>
    <row r="650">
      <c r="D650" s="1"/>
      <c r="E650" s="1"/>
    </row>
    <row r="651">
      <c r="D651" s="1"/>
      <c r="E651" s="1"/>
    </row>
    <row r="652">
      <c r="D652" s="1"/>
      <c r="E652" s="1"/>
    </row>
    <row r="653">
      <c r="D653" s="1"/>
      <c r="E653" s="1"/>
    </row>
    <row r="654">
      <c r="D654" s="1"/>
      <c r="E654" s="1"/>
    </row>
    <row r="655">
      <c r="D655" s="1"/>
      <c r="E655" s="1"/>
    </row>
    <row r="656">
      <c r="D656" s="1"/>
      <c r="E656" s="1"/>
    </row>
    <row r="657">
      <c r="D657" s="1"/>
      <c r="E657" s="1"/>
    </row>
    <row r="658">
      <c r="D658" s="1"/>
      <c r="E658" s="1"/>
    </row>
    <row r="659">
      <c r="D659" s="1"/>
      <c r="E659" s="1"/>
    </row>
    <row r="660">
      <c r="D660" s="1"/>
      <c r="E660" s="1"/>
    </row>
    <row r="661">
      <c r="D661" s="1"/>
      <c r="E661" s="1"/>
    </row>
    <row r="662">
      <c r="D662" s="1"/>
      <c r="E662" s="1"/>
    </row>
    <row r="663">
      <c r="D663" s="1"/>
      <c r="E663" s="1"/>
    </row>
    <row r="664">
      <c r="D664" s="1"/>
      <c r="E664" s="1"/>
    </row>
    <row r="665">
      <c r="D665" s="1"/>
      <c r="E665" s="1"/>
    </row>
    <row r="666">
      <c r="D666" s="1"/>
      <c r="E666" s="1"/>
    </row>
    <row r="667">
      <c r="D667" s="1"/>
      <c r="E667" s="1"/>
    </row>
    <row r="668">
      <c r="D668" s="1"/>
      <c r="E668" s="1"/>
    </row>
    <row r="669">
      <c r="D669" s="1"/>
      <c r="E669" s="1"/>
    </row>
    <row r="670">
      <c r="D670" s="1"/>
      <c r="E670" s="1"/>
    </row>
    <row r="671">
      <c r="D671" s="1"/>
      <c r="E671" s="1"/>
    </row>
    <row r="672">
      <c r="D672" s="1"/>
      <c r="E672" s="1"/>
    </row>
    <row r="673">
      <c r="D673" s="1"/>
      <c r="E673" s="1"/>
    </row>
    <row r="674">
      <c r="D674" s="1"/>
      <c r="E674" s="1"/>
    </row>
    <row r="675">
      <c r="D675" s="1"/>
      <c r="E675" s="1"/>
    </row>
    <row r="676">
      <c r="D676" s="1"/>
      <c r="E676" s="1"/>
    </row>
    <row r="677">
      <c r="D677" s="1"/>
      <c r="E677" s="1"/>
    </row>
    <row r="678">
      <c r="D678" s="1"/>
      <c r="E678" s="1"/>
    </row>
    <row r="679">
      <c r="D679" s="1"/>
      <c r="E679" s="1"/>
    </row>
    <row r="680">
      <c r="D680" s="1"/>
      <c r="E680" s="1"/>
    </row>
    <row r="681">
      <c r="D681" s="1"/>
      <c r="E681" s="1"/>
    </row>
    <row r="682">
      <c r="D682" s="1"/>
      <c r="E682" s="1"/>
    </row>
    <row r="683">
      <c r="D683" s="1"/>
      <c r="E683" s="1"/>
    </row>
    <row r="684">
      <c r="D684" s="1"/>
      <c r="E684" s="1"/>
    </row>
    <row r="685">
      <c r="D685" s="1"/>
      <c r="E685" s="1"/>
    </row>
    <row r="686">
      <c r="D686" s="1"/>
      <c r="E686" s="1"/>
    </row>
    <row r="687">
      <c r="D687" s="1"/>
      <c r="E687" s="1"/>
    </row>
    <row r="688">
      <c r="D688" s="1"/>
      <c r="E688" s="1"/>
    </row>
    <row r="689">
      <c r="D689" s="1"/>
      <c r="E689" s="1"/>
    </row>
    <row r="690">
      <c r="D690" s="1"/>
      <c r="E690" s="1"/>
    </row>
    <row r="691">
      <c r="D691" s="1"/>
      <c r="E691" s="1"/>
    </row>
    <row r="692">
      <c r="D692" s="1"/>
      <c r="E692" s="1"/>
    </row>
    <row r="693">
      <c r="D693" s="1"/>
      <c r="E693" s="1"/>
    </row>
    <row r="694">
      <c r="D694" s="1"/>
      <c r="E694" s="1"/>
    </row>
    <row r="695">
      <c r="D695" s="1"/>
      <c r="E695" s="1"/>
    </row>
    <row r="696">
      <c r="D696" s="1"/>
      <c r="E696" s="1"/>
    </row>
    <row r="697">
      <c r="D697" s="1"/>
      <c r="E697" s="1"/>
    </row>
    <row r="698">
      <c r="D698" s="1"/>
      <c r="E698" s="1"/>
    </row>
    <row r="699">
      <c r="D699" s="1"/>
      <c r="E699" s="1"/>
    </row>
    <row r="700">
      <c r="D700" s="1"/>
      <c r="E700" s="1"/>
    </row>
    <row r="701">
      <c r="D701" s="1"/>
      <c r="E701" s="1"/>
    </row>
    <row r="702">
      <c r="D702" s="1"/>
      <c r="E702" s="1"/>
    </row>
    <row r="703">
      <c r="D703" s="1"/>
      <c r="E703" s="1"/>
    </row>
    <row r="704">
      <c r="D704" s="1"/>
      <c r="E704" s="1"/>
    </row>
    <row r="705">
      <c r="D705" s="1"/>
      <c r="E705" s="1"/>
    </row>
    <row r="706">
      <c r="D706" s="1"/>
      <c r="E706" s="1"/>
    </row>
    <row r="707">
      <c r="D707" s="1"/>
      <c r="E707" s="1"/>
    </row>
    <row r="708">
      <c r="D708" s="1"/>
      <c r="E708" s="1"/>
    </row>
    <row r="709">
      <c r="D709" s="1"/>
      <c r="E709" s="1"/>
    </row>
    <row r="710">
      <c r="D710" s="1"/>
      <c r="E710" s="1"/>
    </row>
    <row r="711">
      <c r="D711" s="1"/>
      <c r="E711" s="1"/>
    </row>
    <row r="712">
      <c r="D712" s="1"/>
      <c r="E712" s="1"/>
    </row>
    <row r="713">
      <c r="D713" s="1"/>
      <c r="E713" s="1"/>
    </row>
    <row r="714">
      <c r="D714" s="1"/>
      <c r="E714" s="1"/>
    </row>
    <row r="715">
      <c r="D715" s="1"/>
      <c r="E715" s="1"/>
    </row>
    <row r="716">
      <c r="D716" s="1"/>
      <c r="E716" s="1"/>
    </row>
    <row r="717">
      <c r="D717" s="1"/>
      <c r="E717" s="1"/>
    </row>
    <row r="718">
      <c r="D718" s="1"/>
      <c r="E718" s="1"/>
    </row>
    <row r="719">
      <c r="D719" s="1"/>
      <c r="E719" s="1"/>
    </row>
    <row r="720">
      <c r="D720" s="1"/>
      <c r="E720" s="1"/>
    </row>
    <row r="721">
      <c r="D721" s="1"/>
      <c r="E721" s="1"/>
    </row>
    <row r="722">
      <c r="D722" s="1"/>
      <c r="E722" s="1"/>
    </row>
    <row r="723">
      <c r="D723" s="1"/>
      <c r="E723" s="1"/>
    </row>
    <row r="724">
      <c r="D724" s="1"/>
      <c r="E724" s="1"/>
    </row>
    <row r="725">
      <c r="D725" s="1"/>
      <c r="E725" s="1"/>
    </row>
    <row r="726">
      <c r="D726" s="1"/>
      <c r="E726" s="1"/>
    </row>
    <row r="727">
      <c r="D727" s="1"/>
      <c r="E727" s="1"/>
    </row>
    <row r="728">
      <c r="D728" s="1"/>
      <c r="E728" s="1"/>
    </row>
    <row r="729">
      <c r="D729" s="1"/>
      <c r="E729" s="1"/>
    </row>
    <row r="730">
      <c r="D730" s="1"/>
      <c r="E730" s="1"/>
    </row>
    <row r="731">
      <c r="D731" s="1"/>
      <c r="E731" s="1"/>
    </row>
    <row r="732">
      <c r="D732" s="1"/>
      <c r="E732" s="1"/>
    </row>
    <row r="733">
      <c r="D733" s="1"/>
      <c r="E733" s="1"/>
    </row>
    <row r="734">
      <c r="D734" s="1"/>
      <c r="E734" s="1"/>
    </row>
    <row r="735">
      <c r="D735" s="1"/>
      <c r="E735" s="1"/>
    </row>
    <row r="736">
      <c r="D736" s="1"/>
      <c r="E736" s="1"/>
    </row>
    <row r="737">
      <c r="D737" s="1"/>
      <c r="E737" s="1"/>
    </row>
    <row r="738">
      <c r="D738" s="1"/>
      <c r="E738" s="1"/>
    </row>
    <row r="739">
      <c r="D739" s="1"/>
      <c r="E739" s="1"/>
    </row>
    <row r="740">
      <c r="D740" s="1"/>
      <c r="E740" s="1"/>
    </row>
    <row r="741">
      <c r="D741" s="1"/>
      <c r="E741" s="1"/>
    </row>
    <row r="742">
      <c r="D742" s="1"/>
      <c r="E742" s="1"/>
    </row>
    <row r="743">
      <c r="D743" s="1"/>
      <c r="E743" s="1"/>
    </row>
    <row r="744">
      <c r="D744" s="1"/>
      <c r="E744" s="1"/>
    </row>
    <row r="745">
      <c r="D745" s="1"/>
      <c r="E745" s="1"/>
    </row>
    <row r="746">
      <c r="D746" s="1"/>
      <c r="E746" s="1"/>
    </row>
    <row r="747">
      <c r="D747" s="1"/>
      <c r="E747" s="1"/>
    </row>
    <row r="748">
      <c r="D748" s="1"/>
      <c r="E748" s="1"/>
    </row>
    <row r="749">
      <c r="D749" s="1"/>
      <c r="E749" s="1"/>
    </row>
    <row r="750">
      <c r="D750" s="1"/>
      <c r="E750" s="1"/>
    </row>
    <row r="751">
      <c r="D751" s="1"/>
      <c r="E751" s="1"/>
    </row>
    <row r="752">
      <c r="D752" s="1"/>
      <c r="E752" s="1"/>
    </row>
    <row r="753">
      <c r="D753" s="1"/>
      <c r="E753" s="1"/>
    </row>
    <row r="754">
      <c r="D754" s="1"/>
      <c r="E754" s="1"/>
    </row>
    <row r="755">
      <c r="D755" s="1"/>
      <c r="E755" s="1"/>
    </row>
    <row r="756">
      <c r="D756" s="1"/>
      <c r="E756" s="1"/>
    </row>
    <row r="757">
      <c r="D757" s="1"/>
      <c r="E757" s="1"/>
    </row>
    <row r="758">
      <c r="D758" s="1"/>
      <c r="E758" s="1"/>
    </row>
    <row r="759">
      <c r="D759" s="1"/>
      <c r="E759" s="1"/>
    </row>
    <row r="760">
      <c r="D760" s="1"/>
      <c r="E760" s="1"/>
    </row>
    <row r="761">
      <c r="D761" s="1"/>
      <c r="E761" s="1"/>
    </row>
    <row r="762">
      <c r="D762" s="1"/>
      <c r="E762" s="1"/>
    </row>
    <row r="763">
      <c r="D763" s="1"/>
      <c r="E763" s="1"/>
    </row>
    <row r="764">
      <c r="D764" s="1"/>
      <c r="E764" s="1"/>
    </row>
    <row r="765">
      <c r="D765" s="1"/>
      <c r="E765" s="1"/>
    </row>
    <row r="766">
      <c r="D766" s="1"/>
      <c r="E766" s="1"/>
    </row>
    <row r="767">
      <c r="D767" s="1"/>
      <c r="E767" s="1"/>
    </row>
    <row r="768">
      <c r="D768" s="1"/>
      <c r="E768" s="1"/>
    </row>
    <row r="769">
      <c r="D769" s="1"/>
      <c r="E769" s="1"/>
    </row>
    <row r="770">
      <c r="D770" s="1"/>
      <c r="E770" s="1"/>
    </row>
    <row r="771">
      <c r="D771" s="1"/>
      <c r="E771" s="1"/>
    </row>
    <row r="772">
      <c r="D772" s="1"/>
      <c r="E772" s="1"/>
    </row>
    <row r="773">
      <c r="D773" s="1"/>
      <c r="E773" s="1"/>
    </row>
    <row r="774">
      <c r="D774" s="1"/>
      <c r="E774" s="1"/>
    </row>
    <row r="775">
      <c r="D775" s="1"/>
      <c r="E775" s="1"/>
    </row>
    <row r="776">
      <c r="D776" s="1"/>
      <c r="E776" s="1"/>
    </row>
    <row r="777">
      <c r="D777" s="1"/>
      <c r="E777" s="1"/>
    </row>
    <row r="778">
      <c r="D778" s="1"/>
      <c r="E778" s="1"/>
    </row>
    <row r="779">
      <c r="D779" s="1"/>
      <c r="E779" s="1"/>
    </row>
    <row r="780">
      <c r="D780" s="1"/>
      <c r="E780" s="1"/>
    </row>
    <row r="781">
      <c r="D781" s="1"/>
      <c r="E781" s="1"/>
    </row>
    <row r="782">
      <c r="D782" s="1"/>
      <c r="E782" s="1"/>
    </row>
    <row r="783">
      <c r="D783" s="1"/>
      <c r="E783" s="1"/>
    </row>
    <row r="784">
      <c r="D784" s="1"/>
      <c r="E784" s="1"/>
    </row>
    <row r="785">
      <c r="D785" s="1"/>
      <c r="E785" s="1"/>
    </row>
    <row r="786">
      <c r="D786" s="1"/>
      <c r="E786" s="1"/>
    </row>
    <row r="787">
      <c r="D787" s="1"/>
      <c r="E787" s="1"/>
    </row>
    <row r="788">
      <c r="D788" s="1"/>
      <c r="E788" s="1"/>
    </row>
    <row r="789">
      <c r="D789" s="1"/>
      <c r="E789" s="1"/>
    </row>
    <row r="790">
      <c r="D790" s="1"/>
      <c r="E790" s="1"/>
    </row>
    <row r="791">
      <c r="D791" s="1"/>
      <c r="E791" s="1"/>
    </row>
    <row r="792">
      <c r="D792" s="1"/>
      <c r="E792" s="1"/>
    </row>
    <row r="793">
      <c r="D793" s="1"/>
      <c r="E793" s="1"/>
    </row>
    <row r="794">
      <c r="D794" s="1"/>
      <c r="E794" s="1"/>
    </row>
    <row r="795">
      <c r="D795" s="1"/>
      <c r="E795" s="1"/>
    </row>
    <row r="796">
      <c r="D796" s="1"/>
      <c r="E796" s="1"/>
    </row>
    <row r="797">
      <c r="D797" s="1"/>
      <c r="E797" s="1"/>
    </row>
    <row r="798">
      <c r="D798" s="1"/>
      <c r="E798" s="1"/>
    </row>
    <row r="799">
      <c r="D799" s="1"/>
      <c r="E799" s="1"/>
    </row>
    <row r="800">
      <c r="D800" s="1"/>
      <c r="E800" s="1"/>
    </row>
    <row r="801">
      <c r="D801" s="1"/>
      <c r="E801" s="1"/>
    </row>
    <row r="802">
      <c r="D802" s="1"/>
      <c r="E802" s="1"/>
    </row>
    <row r="803">
      <c r="D803" s="1"/>
      <c r="E803" s="1"/>
    </row>
    <row r="804">
      <c r="D804" s="1"/>
      <c r="E804" s="1"/>
    </row>
    <row r="805">
      <c r="D805" s="1"/>
      <c r="E805" s="1"/>
    </row>
    <row r="806">
      <c r="D806" s="1"/>
      <c r="E806" s="1"/>
    </row>
    <row r="807">
      <c r="D807" s="1"/>
      <c r="E807" s="1"/>
    </row>
    <row r="808">
      <c r="D808" s="1"/>
      <c r="E808" s="1"/>
    </row>
    <row r="809">
      <c r="D809" s="1"/>
      <c r="E809" s="1"/>
    </row>
    <row r="810">
      <c r="D810" s="1"/>
      <c r="E810" s="1"/>
    </row>
    <row r="811">
      <c r="D811" s="1"/>
      <c r="E811" s="1"/>
    </row>
    <row r="812">
      <c r="D812" s="1"/>
      <c r="E812" s="1"/>
    </row>
    <row r="813">
      <c r="D813" s="1"/>
      <c r="E813" s="1"/>
    </row>
    <row r="814">
      <c r="D814" s="1"/>
      <c r="E814" s="1"/>
    </row>
    <row r="815">
      <c r="D815" s="1"/>
      <c r="E815" s="1"/>
    </row>
    <row r="816">
      <c r="D816" s="1"/>
      <c r="E816" s="1"/>
    </row>
    <row r="817">
      <c r="D817" s="1"/>
      <c r="E817" s="1"/>
    </row>
    <row r="818">
      <c r="D818" s="1"/>
      <c r="E818" s="1"/>
    </row>
    <row r="819">
      <c r="D819" s="1"/>
      <c r="E819" s="1"/>
    </row>
    <row r="820">
      <c r="D820" s="1"/>
      <c r="E820" s="1"/>
    </row>
    <row r="821">
      <c r="D821" s="1"/>
      <c r="E821" s="1"/>
    </row>
    <row r="822">
      <c r="D822" s="1"/>
      <c r="E822" s="1"/>
    </row>
    <row r="823">
      <c r="D823" s="1"/>
      <c r="E823" s="1"/>
    </row>
    <row r="824">
      <c r="D824" s="1"/>
      <c r="E824" s="1"/>
    </row>
    <row r="825">
      <c r="D825" s="1"/>
      <c r="E825" s="1"/>
    </row>
    <row r="826">
      <c r="D826" s="1"/>
      <c r="E826" s="1"/>
    </row>
    <row r="827">
      <c r="D827" s="1"/>
      <c r="E827" s="1"/>
    </row>
    <row r="828">
      <c r="D828" s="1"/>
      <c r="E828" s="1"/>
    </row>
    <row r="829">
      <c r="D829" s="1"/>
      <c r="E829" s="1"/>
    </row>
    <row r="830">
      <c r="D830" s="1"/>
      <c r="E830" s="1"/>
    </row>
    <row r="831">
      <c r="D831" s="1"/>
      <c r="E831" s="1"/>
    </row>
    <row r="832">
      <c r="D832" s="1"/>
      <c r="E832" s="1"/>
    </row>
    <row r="833">
      <c r="D833" s="1"/>
      <c r="E833" s="1"/>
    </row>
    <row r="834">
      <c r="D834" s="1"/>
      <c r="E834" s="1"/>
    </row>
    <row r="835">
      <c r="D835" s="1"/>
      <c r="E835" s="1"/>
    </row>
    <row r="836">
      <c r="D836" s="1"/>
      <c r="E836" s="1"/>
    </row>
    <row r="837">
      <c r="D837" s="1"/>
      <c r="E837" s="1"/>
    </row>
    <row r="838">
      <c r="D838" s="1"/>
      <c r="E838" s="1"/>
    </row>
    <row r="839">
      <c r="D839" s="1"/>
      <c r="E839" s="1"/>
    </row>
    <row r="840">
      <c r="D840" s="1"/>
      <c r="E840" s="1"/>
    </row>
    <row r="841">
      <c r="D841" s="1"/>
      <c r="E841" s="1"/>
    </row>
    <row r="842">
      <c r="D842" s="1"/>
      <c r="E842" s="1"/>
    </row>
    <row r="843">
      <c r="D843" s="1"/>
      <c r="E843" s="1"/>
    </row>
    <row r="844">
      <c r="D844" s="1"/>
      <c r="E844" s="1"/>
    </row>
    <row r="845">
      <c r="D845" s="1"/>
      <c r="E845" s="1"/>
    </row>
    <row r="846">
      <c r="D846" s="1"/>
      <c r="E846" s="1"/>
    </row>
    <row r="847">
      <c r="D847" s="1"/>
      <c r="E847" s="1"/>
    </row>
    <row r="848">
      <c r="D848" s="1"/>
      <c r="E848" s="1"/>
    </row>
    <row r="849">
      <c r="D849" s="1"/>
      <c r="E849" s="1"/>
    </row>
    <row r="850">
      <c r="D850" s="1"/>
      <c r="E850" s="1"/>
    </row>
    <row r="851">
      <c r="D851" s="1"/>
      <c r="E851" s="1"/>
    </row>
    <row r="852">
      <c r="D852" s="1"/>
      <c r="E852" s="1"/>
    </row>
    <row r="853">
      <c r="D853" s="1"/>
      <c r="E853" s="1"/>
    </row>
    <row r="854">
      <c r="D854" s="1"/>
      <c r="E854" s="1"/>
    </row>
    <row r="855">
      <c r="D855" s="1"/>
      <c r="E855" s="1"/>
    </row>
    <row r="856">
      <c r="D856" s="1"/>
      <c r="E856" s="1"/>
    </row>
    <row r="857">
      <c r="D857" s="1"/>
      <c r="E857" s="1"/>
    </row>
    <row r="858">
      <c r="D858" s="1"/>
      <c r="E858" s="1"/>
    </row>
    <row r="859">
      <c r="D859" s="1"/>
      <c r="E859" s="1"/>
    </row>
    <row r="860">
      <c r="D860" s="1"/>
      <c r="E860" s="1"/>
    </row>
    <row r="861">
      <c r="D861" s="1"/>
      <c r="E861" s="1"/>
    </row>
    <row r="862">
      <c r="D862" s="1"/>
      <c r="E862" s="1"/>
    </row>
    <row r="863">
      <c r="D863" s="1"/>
      <c r="E863" s="1"/>
    </row>
    <row r="864">
      <c r="D864" s="1"/>
      <c r="E864" s="1"/>
    </row>
    <row r="865">
      <c r="D865" s="1"/>
      <c r="E865" s="1"/>
    </row>
    <row r="866">
      <c r="D866" s="1"/>
      <c r="E866" s="1"/>
    </row>
    <row r="867">
      <c r="D867" s="1"/>
      <c r="E867" s="1"/>
    </row>
    <row r="868">
      <c r="D868" s="1"/>
      <c r="E868" s="1"/>
    </row>
    <row r="869">
      <c r="D869" s="1"/>
      <c r="E869" s="1"/>
    </row>
    <row r="870">
      <c r="D870" s="1"/>
      <c r="E870" s="1"/>
    </row>
    <row r="871">
      <c r="D871" s="1"/>
      <c r="E871" s="1"/>
    </row>
    <row r="872">
      <c r="D872" s="1"/>
      <c r="E872" s="1"/>
    </row>
    <row r="873">
      <c r="D873" s="1"/>
      <c r="E873" s="1"/>
    </row>
    <row r="874">
      <c r="D874" s="1"/>
      <c r="E874" s="1"/>
    </row>
    <row r="875">
      <c r="D875" s="1"/>
      <c r="E875" s="1"/>
    </row>
    <row r="876">
      <c r="D876" s="1"/>
      <c r="E876" s="1"/>
    </row>
    <row r="877">
      <c r="D877" s="1"/>
      <c r="E877" s="1"/>
    </row>
    <row r="878">
      <c r="D878" s="1"/>
      <c r="E878" s="1"/>
    </row>
    <row r="879">
      <c r="D879" s="1"/>
      <c r="E879" s="1"/>
    </row>
    <row r="880">
      <c r="D880" s="1"/>
      <c r="E880" s="1"/>
    </row>
    <row r="881">
      <c r="D881" s="1"/>
      <c r="E881" s="1"/>
    </row>
    <row r="882">
      <c r="D882" s="1"/>
      <c r="E882" s="1"/>
    </row>
    <row r="883">
      <c r="D883" s="1"/>
      <c r="E883" s="1"/>
    </row>
    <row r="884">
      <c r="D884" s="1"/>
      <c r="E884" s="1"/>
    </row>
    <row r="885">
      <c r="D885" s="1"/>
      <c r="E885" s="1"/>
    </row>
    <row r="886">
      <c r="D886" s="1"/>
      <c r="E886" s="1"/>
    </row>
    <row r="887">
      <c r="D887" s="1"/>
      <c r="E887" s="1"/>
    </row>
    <row r="888">
      <c r="D888" s="1"/>
      <c r="E888" s="1"/>
    </row>
    <row r="889">
      <c r="D889" s="1"/>
      <c r="E889" s="1"/>
    </row>
    <row r="890">
      <c r="D890" s="1"/>
      <c r="E890" s="1"/>
    </row>
    <row r="891">
      <c r="D891" s="1"/>
      <c r="E891" s="1"/>
    </row>
    <row r="892">
      <c r="D892" s="1"/>
      <c r="E892" s="1"/>
    </row>
    <row r="893">
      <c r="D893" s="1"/>
      <c r="E893" s="1"/>
    </row>
    <row r="894">
      <c r="D894" s="1"/>
      <c r="E894" s="1"/>
    </row>
    <row r="895">
      <c r="D895" s="1"/>
      <c r="E895" s="1"/>
    </row>
    <row r="896">
      <c r="D896" s="1"/>
      <c r="E896" s="1"/>
    </row>
    <row r="897">
      <c r="D897" s="1"/>
      <c r="E897" s="1"/>
    </row>
    <row r="898">
      <c r="D898" s="1"/>
      <c r="E898" s="1"/>
    </row>
    <row r="899">
      <c r="D899" s="1"/>
      <c r="E899" s="1"/>
    </row>
    <row r="900">
      <c r="D900" s="1"/>
      <c r="E900" s="1"/>
    </row>
    <row r="901">
      <c r="D901" s="1"/>
      <c r="E901" s="1"/>
    </row>
    <row r="902">
      <c r="D902" s="1"/>
      <c r="E902" s="1"/>
    </row>
    <row r="903">
      <c r="D903" s="1"/>
      <c r="E903" s="1"/>
    </row>
    <row r="904">
      <c r="D904" s="1"/>
      <c r="E904" s="1"/>
    </row>
    <row r="905">
      <c r="D905" s="1"/>
      <c r="E905" s="1"/>
    </row>
    <row r="906">
      <c r="D906" s="1"/>
      <c r="E906" s="1"/>
    </row>
    <row r="907">
      <c r="D907" s="1"/>
      <c r="E907" s="1"/>
    </row>
    <row r="908">
      <c r="D908" s="1"/>
      <c r="E908" s="1"/>
    </row>
    <row r="909">
      <c r="D909" s="1"/>
      <c r="E909" s="1"/>
    </row>
    <row r="910">
      <c r="D910" s="1"/>
      <c r="E910" s="1"/>
    </row>
    <row r="911">
      <c r="D911" s="1"/>
      <c r="E911" s="1"/>
    </row>
    <row r="912">
      <c r="D912" s="1"/>
      <c r="E912" s="1"/>
    </row>
    <row r="913">
      <c r="D913" s="1"/>
      <c r="E913" s="1"/>
    </row>
    <row r="914">
      <c r="D914" s="1"/>
      <c r="E914" s="1"/>
    </row>
    <row r="915">
      <c r="D915" s="1"/>
      <c r="E915" s="1"/>
    </row>
    <row r="916">
      <c r="D916" s="1"/>
      <c r="E916" s="1"/>
    </row>
    <row r="917">
      <c r="D917" s="1"/>
      <c r="E917" s="1"/>
    </row>
    <row r="918">
      <c r="D918" s="1"/>
      <c r="E918" s="1"/>
    </row>
    <row r="919">
      <c r="D919" s="1"/>
      <c r="E919" s="1"/>
    </row>
    <row r="920">
      <c r="D920" s="1"/>
      <c r="E920" s="1"/>
    </row>
    <row r="921">
      <c r="D921" s="1"/>
      <c r="E921" s="1"/>
    </row>
    <row r="922">
      <c r="D922" s="1"/>
      <c r="E922" s="1"/>
    </row>
    <row r="923">
      <c r="D923" s="1"/>
      <c r="E923" s="1"/>
    </row>
    <row r="924">
      <c r="D924" s="1"/>
      <c r="E924" s="1"/>
    </row>
    <row r="925">
      <c r="D925" s="1"/>
      <c r="E925" s="1"/>
    </row>
    <row r="926">
      <c r="D926" s="1"/>
      <c r="E926" s="1"/>
    </row>
    <row r="927">
      <c r="D927" s="1"/>
      <c r="E927" s="1"/>
    </row>
    <row r="928">
      <c r="D928" s="1"/>
      <c r="E928" s="1"/>
    </row>
    <row r="929">
      <c r="D929" s="1"/>
      <c r="E929" s="1"/>
    </row>
    <row r="930">
      <c r="D930" s="1"/>
      <c r="E930" s="1"/>
    </row>
    <row r="931">
      <c r="D931" s="1"/>
      <c r="E931" s="1"/>
    </row>
    <row r="932">
      <c r="D932" s="1"/>
      <c r="E932" s="1"/>
    </row>
    <row r="933">
      <c r="D933" s="1"/>
      <c r="E933" s="1"/>
    </row>
    <row r="934">
      <c r="D934" s="1"/>
      <c r="E934" s="1"/>
    </row>
    <row r="935">
      <c r="D935" s="1"/>
      <c r="E935" s="1"/>
    </row>
    <row r="936">
      <c r="D936" s="1"/>
      <c r="E936" s="1"/>
    </row>
    <row r="937">
      <c r="D937" s="1"/>
      <c r="E937" s="1"/>
    </row>
    <row r="938">
      <c r="D938" s="1"/>
      <c r="E938" s="1"/>
    </row>
    <row r="939">
      <c r="D939" s="1"/>
      <c r="E939" s="1"/>
    </row>
    <row r="940">
      <c r="D940" s="1"/>
      <c r="E940" s="1"/>
    </row>
    <row r="941">
      <c r="D941" s="1"/>
      <c r="E941" s="1"/>
    </row>
    <row r="942">
      <c r="D942" s="1"/>
      <c r="E942" s="1"/>
    </row>
    <row r="943">
      <c r="D943" s="1"/>
      <c r="E943" s="1"/>
    </row>
    <row r="944">
      <c r="D944" s="1"/>
      <c r="E944" s="1"/>
    </row>
    <row r="945">
      <c r="D945" s="1"/>
      <c r="E945" s="1"/>
    </row>
    <row r="946">
      <c r="D946" s="1"/>
      <c r="E946" s="1"/>
    </row>
    <row r="947">
      <c r="D947" s="1"/>
      <c r="E947" s="1"/>
    </row>
    <row r="948">
      <c r="D948" s="1"/>
      <c r="E948" s="1"/>
    </row>
    <row r="949">
      <c r="D949" s="1"/>
      <c r="E949" s="1"/>
    </row>
    <row r="950">
      <c r="D950" s="1"/>
      <c r="E950" s="1"/>
    </row>
    <row r="951">
      <c r="D951" s="1"/>
      <c r="E951" s="1"/>
    </row>
    <row r="952">
      <c r="D952" s="1"/>
      <c r="E952" s="1"/>
    </row>
    <row r="953">
      <c r="D953" s="1"/>
      <c r="E953" s="1"/>
    </row>
    <row r="954">
      <c r="D954" s="1"/>
      <c r="E954" s="1"/>
    </row>
    <row r="955">
      <c r="D955" s="1"/>
      <c r="E955" s="1"/>
    </row>
    <row r="956">
      <c r="D956" s="1"/>
      <c r="E956" s="1"/>
    </row>
    <row r="957">
      <c r="D957" s="1"/>
      <c r="E957" s="1"/>
    </row>
    <row r="958">
      <c r="D958" s="1"/>
      <c r="E958" s="1"/>
    </row>
    <row r="959">
      <c r="D959" s="1"/>
      <c r="E959" s="1"/>
    </row>
    <row r="960">
      <c r="D960" s="1"/>
      <c r="E960" s="1"/>
    </row>
    <row r="961">
      <c r="D961" s="1"/>
      <c r="E961" s="1"/>
    </row>
    <row r="962">
      <c r="D962" s="1"/>
      <c r="E962" s="1"/>
    </row>
    <row r="963">
      <c r="D963" s="1"/>
      <c r="E963" s="1"/>
    </row>
    <row r="964">
      <c r="D964" s="1"/>
      <c r="E964" s="1"/>
    </row>
    <row r="965">
      <c r="D965" s="1"/>
      <c r="E965" s="1"/>
    </row>
    <row r="966">
      <c r="D966" s="1"/>
      <c r="E966" s="1"/>
    </row>
    <row r="967">
      <c r="D967" s="1"/>
      <c r="E967" s="1"/>
    </row>
    <row r="968">
      <c r="D968" s="1"/>
      <c r="E968" s="1"/>
    </row>
    <row r="969">
      <c r="D969" s="1"/>
      <c r="E969" s="1"/>
    </row>
    <row r="970">
      <c r="D970" s="1"/>
      <c r="E970" s="1"/>
    </row>
    <row r="971">
      <c r="D971" s="1"/>
      <c r="E971" s="1"/>
    </row>
    <row r="972">
      <c r="D972" s="1"/>
      <c r="E972" s="1"/>
    </row>
    <row r="973">
      <c r="D973" s="1"/>
      <c r="E973" s="1"/>
    </row>
    <row r="974">
      <c r="D974" s="1"/>
      <c r="E974" s="1"/>
    </row>
    <row r="975">
      <c r="D975" s="1"/>
      <c r="E975" s="1"/>
    </row>
    <row r="976">
      <c r="D976" s="1"/>
      <c r="E976" s="1"/>
    </row>
    <row r="977">
      <c r="D977" s="1"/>
      <c r="E977" s="1"/>
    </row>
    <row r="978">
      <c r="D978" s="1"/>
      <c r="E978" s="1"/>
    </row>
    <row r="979">
      <c r="D979" s="1"/>
      <c r="E979" s="1"/>
    </row>
    <row r="980">
      <c r="D980" s="1"/>
      <c r="E980" s="1"/>
    </row>
    <row r="981">
      <c r="D981" s="1"/>
      <c r="E981" s="1"/>
    </row>
    <row r="982">
      <c r="D982" s="1"/>
      <c r="E982" s="1"/>
    </row>
    <row r="983">
      <c r="D983" s="1"/>
      <c r="E983" s="1"/>
    </row>
    <row r="984">
      <c r="D984" s="1"/>
      <c r="E984" s="1"/>
    </row>
    <row r="985">
      <c r="D985" s="1"/>
      <c r="E985" s="1"/>
    </row>
    <row r="986">
      <c r="D986" s="1"/>
      <c r="E986" s="1"/>
    </row>
    <row r="987">
      <c r="D987" s="1"/>
      <c r="E987" s="1"/>
    </row>
    <row r="988">
      <c r="D988" s="1"/>
      <c r="E988" s="1"/>
    </row>
    <row r="989">
      <c r="D989" s="1"/>
      <c r="E989" s="1"/>
    </row>
    <row r="990">
      <c r="D990" s="1"/>
      <c r="E990" s="1"/>
    </row>
    <row r="991">
      <c r="D991" s="1"/>
      <c r="E991" s="1"/>
    </row>
    <row r="992">
      <c r="D992" s="1"/>
      <c r="E992" s="1"/>
    </row>
    <row r="993">
      <c r="D993" s="1"/>
      <c r="E993" s="1"/>
    </row>
    <row r="994">
      <c r="D994" s="1"/>
      <c r="E994" s="1"/>
    </row>
    <row r="995">
      <c r="D995" s="1"/>
      <c r="E995" s="1"/>
    </row>
    <row r="996">
      <c r="D996" s="1"/>
      <c r="E996" s="1"/>
    </row>
    <row r="997">
      <c r="D997" s="1"/>
      <c r="E997" s="1"/>
    </row>
    <row r="998">
      <c r="D998" s="1"/>
      <c r="E998" s="1"/>
    </row>
    <row r="999">
      <c r="D999" s="1"/>
      <c r="E999" s="1"/>
    </row>
    <row r="1000">
      <c r="D1000" s="1"/>
      <c r="E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233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5"/>
    <col customWidth="1" min="2" max="2" width="18.88"/>
    <col customWidth="1" min="3" max="3" width="13.25"/>
    <col customWidth="1" min="4" max="4" width="34.25"/>
    <col customWidth="1" min="5" max="5" width="34.0"/>
    <col customWidth="1" min="6" max="6" width="20.88"/>
    <col customWidth="1" min="7" max="7" width="13.25"/>
    <col customWidth="1" min="8" max="8" width="21.25"/>
  </cols>
  <sheetData>
    <row r="1">
      <c r="A1" s="3" t="s">
        <v>0</v>
      </c>
      <c r="B1" s="5"/>
      <c r="C1" s="5"/>
      <c r="D1" s="5"/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5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22</v>
      </c>
      <c r="B4" s="16"/>
      <c r="C4" s="16"/>
      <c r="D4" s="16"/>
      <c r="E4" s="16"/>
      <c r="F4" s="19" t="s">
        <v>24</v>
      </c>
      <c r="G4" s="21"/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30</v>
      </c>
      <c r="B5" s="39">
        <f>'Inputs &amp; Assumptions'!C36</f>
        <v>75000000</v>
      </c>
      <c r="C5" s="1"/>
      <c r="D5" s="30" t="s">
        <v>36</v>
      </c>
      <c r="E5" s="41">
        <f>'Debt Service'!B12</f>
        <v>1.896125309</v>
      </c>
      <c r="F5" s="42" t="s">
        <v>36</v>
      </c>
      <c r="G5" s="46">
        <f>MIN('Debt Service'!B12:E12)</f>
        <v>1.200963602</v>
      </c>
      <c r="H5" s="51" t="str">
        <f>IF(G5&gt;=1.25,"🟢 STRONG",IF(G5&gt;=1.15,"🟡 MODERATE RISK","🔴 HIGH RISK"))</f>
        <v>🟡 MODERATE RISK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39</v>
      </c>
      <c r="B6" s="54">
        <f>'Borrowing Base'!F11</f>
        <v>92582284.75</v>
      </c>
      <c r="C6" s="1"/>
      <c r="D6" s="30" t="s">
        <v>44</v>
      </c>
      <c r="E6" s="56">
        <f>'Debt Service'!B11</f>
        <v>2.270483712</v>
      </c>
      <c r="F6" s="42" t="s">
        <v>41</v>
      </c>
      <c r="G6" s="59">
        <f>'Borrowing Base'!B17</f>
        <v>0.4200580664</v>
      </c>
      <c r="H6" s="51" t="str">
        <f>IF(G6&lt;=0.5,"🟢 STRONG",IF(G6&lt;=0.55,"🟡 MODERATE RISK","🔴 HIGH RISK"))</f>
        <v>🟢 STRONG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49</v>
      </c>
      <c r="B7" s="60">
        <f>'Borrowing Base'!B16</f>
        <v>2.150227593</v>
      </c>
      <c r="C7" s="1"/>
      <c r="D7" s="30" t="s">
        <v>53</v>
      </c>
      <c r="E7" s="61">
        <f>'Debt Structure'!B20</f>
        <v>0.1103</v>
      </c>
      <c r="F7" s="42" t="s">
        <v>45</v>
      </c>
      <c r="G7" s="46">
        <f>'Borrowing Base'!F11/'Inputs &amp; Assumptions'!C36</f>
        <v>1.234430463</v>
      </c>
      <c r="H7" s="51" t="str">
        <f t="shared" ref="H7:H8" si="1">IF(G7&gt;=1.1,"🟢 STRONG",IF(G7&gt;=1,"🟡 MODERATE RISK","🔴 HIGH RISK"))</f>
        <v>🟢 STRONG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54</v>
      </c>
      <c r="B8" s="63">
        <f>'Borrowing Base'!B17</f>
        <v>0.4200580664</v>
      </c>
      <c r="C8" s="1"/>
      <c r="D8" s="30" t="s">
        <v>60</v>
      </c>
      <c r="E8" s="65">
        <f>'Debt Structure'!B22</f>
        <v>0.0823</v>
      </c>
      <c r="F8" s="42" t="s">
        <v>50</v>
      </c>
      <c r="G8" s="46">
        <f>'Scenario Analysis'!C14</f>
        <v>0.9724950544</v>
      </c>
      <c r="H8" s="51" t="str">
        <f t="shared" si="1"/>
        <v>🔴 HIGH RISK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62</v>
      </c>
      <c r="B9" s="68">
        <f>'Borrowing Base'!B15</f>
        <v>0.8100901831</v>
      </c>
      <c r="C9" s="1"/>
      <c r="D9" s="30" t="s">
        <v>65</v>
      </c>
      <c r="E9" s="69" t="str">
        <f>IF('Credit Scorecard'!B14&gt;=4,"1 - Strong",IF('Credit Scorecard'!B14&gt;=3.25,"2 - Acceptable",IF('Credit Scorecard'!B14&gt;=2.75,"3 - Watch","4 - Weak")))</f>
        <v>3 - Watch</v>
      </c>
      <c r="F9" s="42" t="s">
        <v>56</v>
      </c>
      <c r="G9" s="59">
        <f>'Recovery Analysis'!B14</f>
        <v>1</v>
      </c>
      <c r="H9" s="51" t="str">
        <f>IF(G9&gt;=0.9,"🟢 STRONG",IF(G9&gt;=0.8,"🟡 MODERATE RISK","🔴 HIGH RISK"))</f>
        <v>🟢 STRONG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0" t="s">
        <v>72</v>
      </c>
      <c r="B10" s="77">
        <f>'Library Valuation'!B32</f>
        <v>132046743.9</v>
      </c>
      <c r="C10" s="1"/>
      <c r="D10" s="30" t="s">
        <v>74</v>
      </c>
      <c r="E10" s="78" t="str">
        <f>'Credit Scorecard'!B15</f>
        <v>WATCH / RESTRUCTURE TERMS</v>
      </c>
      <c r="F10" s="80" t="s">
        <v>44</v>
      </c>
      <c r="G10" s="83">
        <f>MIN('Debt Service'!B11:F11)</f>
        <v>1.46570972</v>
      </c>
      <c r="H10" s="84" t="str">
        <f>IF(G10&gt;=1.5,"🟢 STRONG",IF(G10&gt;=1.25,"🟡 MODERATE RISK","🔴 HIGH RISK"))</f>
        <v>🟡 MODERATE RISK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0" t="s">
        <v>45</v>
      </c>
      <c r="B11" s="87">
        <f>'Borrowing Base'!F11/'Inputs &amp; Assumptions'!C36</f>
        <v>1.234430463</v>
      </c>
      <c r="C11" s="1"/>
      <c r="D11" s="30" t="s">
        <v>59</v>
      </c>
      <c r="E11" s="90">
        <f>MIN('Debt Service'!B12:E12)</f>
        <v>1.200963602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94" t="s">
        <v>108</v>
      </c>
      <c r="B13" s="95"/>
      <c r="C13" s="95"/>
      <c r="D13" s="95"/>
      <c r="E13" s="95"/>
      <c r="F13" s="95"/>
      <c r="G13" s="95"/>
      <c r="H13" s="9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0" t="s">
        <v>115</v>
      </c>
      <c r="B14" s="100" t="s">
        <v>117</v>
      </c>
      <c r="C14" s="100" t="s">
        <v>118</v>
      </c>
      <c r="D14" s="100" t="s">
        <v>119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 t="s">
        <v>39</v>
      </c>
      <c r="B15" s="36">
        <f>'Scenario Analysis'!B13</f>
        <v>92582284.75</v>
      </c>
      <c r="C15" s="36">
        <f>'Scenario Analysis'!C13</f>
        <v>72937129.08</v>
      </c>
      <c r="D15" s="36">
        <f>'Scenario Analysis'!D13</f>
        <v>54700229.46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0" t="s">
        <v>129</v>
      </c>
      <c r="B16" s="57">
        <f>'Scenario Analysis'!B14</f>
        <v>1.234430463</v>
      </c>
      <c r="C16" s="102">
        <f>'Scenario Analysis'!C14</f>
        <v>0.9724950544</v>
      </c>
      <c r="D16" s="102">
        <f>'Scenario Analysis'!D14</f>
        <v>0.7293363928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0" t="s">
        <v>36</v>
      </c>
      <c r="B17" s="57">
        <f>'Scenario Analysis'!B15</f>
        <v>1.896125309</v>
      </c>
      <c r="C17" s="102">
        <f>'Scenario Analysis'!C15</f>
        <v>1.323425336</v>
      </c>
      <c r="D17" s="102">
        <f>'Scenario Analysis'!D15</f>
        <v>0.8968795206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07" t="s">
        <v>142</v>
      </c>
      <c r="B20" s="108"/>
      <c r="C20" s="1"/>
      <c r="D20" s="107" t="s">
        <v>143</v>
      </c>
      <c r="E20" s="108"/>
      <c r="F20" s="1"/>
      <c r="G20" s="107" t="s">
        <v>145</v>
      </c>
      <c r="H20" s="10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0" t="s">
        <v>147</v>
      </c>
      <c r="B21" s="109">
        <f>'Borrowing Base'!F5</f>
        <v>59421034.75</v>
      </c>
      <c r="C21" s="1"/>
      <c r="D21" s="30" t="s">
        <v>149</v>
      </c>
      <c r="E21" s="109">
        <f>'Debt Service'!B10</f>
        <v>69423750</v>
      </c>
      <c r="F21" s="1"/>
      <c r="G21" s="30" t="s">
        <v>149</v>
      </c>
      <c r="H21" s="109">
        <f>'Library Valuation'!B15</f>
        <v>25000000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0" t="s">
        <v>151</v>
      </c>
      <c r="B22" s="109">
        <f>'Borrowing Base'!F6</f>
        <v>14938750</v>
      </c>
      <c r="C22" s="1"/>
      <c r="D22" s="30" t="s">
        <v>153</v>
      </c>
      <c r="E22" s="109">
        <f>'Debt Service'!C10</f>
        <v>65290062.94</v>
      </c>
      <c r="F22" s="1"/>
      <c r="G22" s="30" t="s">
        <v>153</v>
      </c>
      <c r="H22" s="109">
        <f>'Library Valuation'!C15</f>
        <v>20000000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0" t="s">
        <v>156</v>
      </c>
      <c r="B23" s="109">
        <f>'Borrowing Base'!F7</f>
        <v>7560000</v>
      </c>
      <c r="C23" s="1"/>
      <c r="D23" s="30" t="s">
        <v>157</v>
      </c>
      <c r="E23" s="109">
        <f>'Debt Service'!D10</f>
        <v>62327004.63</v>
      </c>
      <c r="F23" s="1"/>
      <c r="G23" s="30" t="s">
        <v>157</v>
      </c>
      <c r="H23" s="109">
        <f>'Library Valuation'!D15</f>
        <v>16000000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0" t="s">
        <v>159</v>
      </c>
      <c r="B24" s="109">
        <f>'Borrowing Base'!F8</f>
        <v>5100000</v>
      </c>
      <c r="C24" s="1"/>
      <c r="D24" s="30" t="s">
        <v>161</v>
      </c>
      <c r="E24" s="109">
        <f>'Debt Service'!E10</f>
        <v>60041867.41</v>
      </c>
      <c r="F24" s="1"/>
      <c r="G24" s="30" t="s">
        <v>161</v>
      </c>
      <c r="H24" s="109">
        <f>'Library Valuation'!E15</f>
        <v>13600000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0" t="s">
        <v>163</v>
      </c>
      <c r="B25" s="109">
        <f>'Borrowing Base'!F9</f>
        <v>5000000</v>
      </c>
      <c r="C25" s="1"/>
      <c r="D25" s="30" t="s">
        <v>164</v>
      </c>
      <c r="E25" s="109">
        <f>'Debt Service'!F10</f>
        <v>0</v>
      </c>
      <c r="F25" s="1"/>
      <c r="G25" s="30" t="s">
        <v>164</v>
      </c>
      <c r="H25" s="109">
        <f>'Library Valuation'!F15</f>
        <v>12920000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0" t="s">
        <v>167</v>
      </c>
      <c r="B26" s="109">
        <f>'Borrowing Base'!F10</f>
        <v>562500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11" t="s">
        <v>171</v>
      </c>
      <c r="B29" s="112"/>
      <c r="C29" s="1"/>
      <c r="D29" s="111" t="s">
        <v>173</v>
      </c>
      <c r="E29" s="11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0" t="s">
        <v>174</v>
      </c>
      <c r="B30" s="62">
        <f>'Recovery Analysis'!B14</f>
        <v>1</v>
      </c>
      <c r="C30" s="1"/>
      <c r="D30" s="30" t="s">
        <v>176</v>
      </c>
      <c r="E30" s="114" t="str">
        <f>'Inputs &amp; Assumptions'!G70</f>
        <v>PASS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0" t="s">
        <v>177</v>
      </c>
      <c r="B31" s="62">
        <f>'Recovery Analysis'!B16</f>
        <v>0</v>
      </c>
      <c r="C31" s="1"/>
      <c r="D31" s="30" t="s">
        <v>178</v>
      </c>
      <c r="E31" s="115" t="str">
        <f>IF(ABS('Debt Service'!F10)&lt;1,"PASS","FAIL")</f>
        <v>PASS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0" t="s">
        <v>181</v>
      </c>
      <c r="B32" s="102">
        <f>'Scenario Analysis'!C14</f>
        <v>0.9724950544</v>
      </c>
      <c r="C32" s="1"/>
      <c r="D32" s="30" t="s">
        <v>183</v>
      </c>
      <c r="E32" s="115" t="str">
        <f>IF(B11&gt;=1.1,"PASS","FAIL")</f>
        <v>PASS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0" t="s">
        <v>64</v>
      </c>
      <c r="B33" s="102">
        <f>'Scenario Analysis'!C15</f>
        <v>1.323425336</v>
      </c>
      <c r="C33" s="1"/>
      <c r="D33" s="30" t="s">
        <v>187</v>
      </c>
      <c r="E33" s="115" t="str">
        <f>IF(B33&gt;=1.15,"PASS","FAIL")</f>
        <v>PASS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0" t="s">
        <v>76</v>
      </c>
      <c r="B34" s="118">
        <f>MIN(0,'Debt Service'!F13)</f>
        <v>-57209308.58</v>
      </c>
      <c r="C34" s="1"/>
      <c r="D34" s="30" t="s">
        <v>133</v>
      </c>
      <c r="E34" s="119" t="str">
        <f>IF('Debt Service'!F13&gt;=0,"PASS","FAIL")</f>
        <v>FAIL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5" t="s">
        <v>40</v>
      </c>
      <c r="B36" s="121"/>
      <c r="C36" s="121"/>
      <c r="D36" s="121"/>
      <c r="E36" s="121"/>
      <c r="F36" s="121"/>
      <c r="G36" s="121"/>
      <c r="H36" s="12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2" t="str">
        <f>"Base collateral and cash-flow metrics support continued underwriting, but downside borrowing-base coverage of "&amp;TEXT('Scenario Analysis'!C14,"0.00x")&amp;" and a modeled maturity cash shortfall of "&amp;TEXT(ABS('Debt Service'!F13)/1000000,"$0.0")&amp;" million require tighter covenants, cash control and a credible takeout plan."</f>
        <v>Base collateral and cash-flow metrics support continued underwriting, but downside borrowing-base coverage of 0.97x and a modeled maturity cash shortfall of $57.2 million require tighter covenants, cash control and a credible takeout plan.</v>
      </c>
      <c r="B37" s="124"/>
      <c r="C37" s="124"/>
      <c r="D37" s="124"/>
      <c r="E37" s="124"/>
      <c r="F37" s="124"/>
      <c r="G37" s="124"/>
      <c r="H37" s="12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88"/>
    <col customWidth="1" min="2" max="2" width="27.0"/>
    <col customWidth="1" min="3" max="4" width="13.88"/>
    <col customWidth="1" min="5" max="5" width="31.63"/>
    <col customWidth="1" min="6" max="6" width="13.88"/>
    <col customWidth="1" min="7" max="7" width="28.38"/>
  </cols>
  <sheetData>
    <row r="1">
      <c r="A1" s="3" t="s">
        <v>68</v>
      </c>
      <c r="B1" s="5"/>
      <c r="C1" s="5"/>
      <c r="D1" s="5"/>
      <c r="E1" s="5"/>
      <c r="F1" s="5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73</v>
      </c>
      <c r="B2" s="11"/>
      <c r="C2" s="11"/>
      <c r="D2" s="11"/>
      <c r="E2" s="11"/>
      <c r="F2" s="11"/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78</v>
      </c>
      <c r="B4" s="12" t="s">
        <v>79</v>
      </c>
      <c r="C4" s="12" t="s">
        <v>80</v>
      </c>
      <c r="D4" s="12" t="s">
        <v>82</v>
      </c>
      <c r="E4" s="12" t="s">
        <v>84</v>
      </c>
      <c r="F4" s="12" t="s">
        <v>85</v>
      </c>
      <c r="G4" s="12" t="s">
        <v>86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8" t="s">
        <v>88</v>
      </c>
      <c r="B5" s="88" t="s">
        <v>89</v>
      </c>
      <c r="C5" s="91">
        <v>0.08</v>
      </c>
      <c r="D5" s="88" t="s">
        <v>91</v>
      </c>
      <c r="E5" s="88" t="s">
        <v>92</v>
      </c>
      <c r="F5" s="92">
        <v>46215.0</v>
      </c>
      <c r="G5" s="88" t="s">
        <v>95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88</v>
      </c>
      <c r="B6" s="30" t="s">
        <v>101</v>
      </c>
      <c r="C6" s="91">
        <v>0.02</v>
      </c>
      <c r="D6" s="30" t="s">
        <v>91</v>
      </c>
      <c r="E6" s="30" t="s">
        <v>92</v>
      </c>
      <c r="F6" s="92">
        <v>46215.0</v>
      </c>
      <c r="G6" s="30" t="s">
        <v>105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96" t="s">
        <v>110</v>
      </c>
      <c r="B7" s="96" t="s">
        <v>113</v>
      </c>
      <c r="C7" s="98">
        <v>2.5E7</v>
      </c>
      <c r="D7" s="96" t="s">
        <v>114</v>
      </c>
      <c r="E7" s="96" t="s">
        <v>92</v>
      </c>
      <c r="F7" s="99">
        <v>46215.0</v>
      </c>
      <c r="G7" s="96" t="s">
        <v>116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110</v>
      </c>
      <c r="B8" s="30" t="s">
        <v>120</v>
      </c>
      <c r="C8" s="91">
        <v>-0.2</v>
      </c>
      <c r="D8" s="30" t="s">
        <v>91</v>
      </c>
      <c r="E8" s="30" t="s">
        <v>92</v>
      </c>
      <c r="F8" s="92">
        <v>46215.0</v>
      </c>
      <c r="G8" s="30" t="s">
        <v>123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110</v>
      </c>
      <c r="B9" s="30" t="s">
        <v>126</v>
      </c>
      <c r="C9" s="91">
        <v>-0.2</v>
      </c>
      <c r="D9" s="30" t="s">
        <v>91</v>
      </c>
      <c r="E9" s="30" t="s">
        <v>92</v>
      </c>
      <c r="F9" s="92">
        <v>46215.0</v>
      </c>
      <c r="G9" s="30" t="s">
        <v>123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0" t="s">
        <v>110</v>
      </c>
      <c r="B10" s="30" t="s">
        <v>130</v>
      </c>
      <c r="C10" s="91">
        <v>-0.15</v>
      </c>
      <c r="D10" s="30" t="s">
        <v>91</v>
      </c>
      <c r="E10" s="30" t="s">
        <v>92</v>
      </c>
      <c r="F10" s="92">
        <v>46215.0</v>
      </c>
      <c r="G10" s="30" t="s">
        <v>123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0" t="s">
        <v>110</v>
      </c>
      <c r="B11" s="30" t="s">
        <v>131</v>
      </c>
      <c r="C11" s="91">
        <v>-0.05</v>
      </c>
      <c r="D11" s="30" t="s">
        <v>91</v>
      </c>
      <c r="E11" s="30" t="s">
        <v>92</v>
      </c>
      <c r="F11" s="92">
        <v>46215.0</v>
      </c>
      <c r="G11" s="30" t="s">
        <v>123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0" t="s">
        <v>110</v>
      </c>
      <c r="B12" s="30" t="s">
        <v>134</v>
      </c>
      <c r="C12" s="91">
        <v>-0.03</v>
      </c>
      <c r="D12" s="30" t="s">
        <v>91</v>
      </c>
      <c r="E12" s="30" t="s">
        <v>92</v>
      </c>
      <c r="F12" s="92">
        <v>46215.0</v>
      </c>
      <c r="G12" s="30" t="s">
        <v>135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03"/>
      <c r="D13" s="1"/>
      <c r="E13" s="1"/>
      <c r="F13" s="10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96" t="s">
        <v>122</v>
      </c>
      <c r="B14" s="96" t="s">
        <v>140</v>
      </c>
      <c r="C14" s="106">
        <v>0.28</v>
      </c>
      <c r="D14" s="96" t="s">
        <v>91</v>
      </c>
      <c r="E14" s="96" t="s">
        <v>92</v>
      </c>
      <c r="F14" s="99">
        <v>46215.0</v>
      </c>
      <c r="G14" s="96" t="s">
        <v>141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 t="s">
        <v>122</v>
      </c>
      <c r="B15" s="30" t="s">
        <v>146</v>
      </c>
      <c r="C15" s="91">
        <v>0.1</v>
      </c>
      <c r="D15" s="30" t="s">
        <v>91</v>
      </c>
      <c r="E15" s="30" t="s">
        <v>92</v>
      </c>
      <c r="F15" s="92">
        <v>46215.0</v>
      </c>
      <c r="G15" s="30" t="s">
        <v>141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0" t="s">
        <v>122</v>
      </c>
      <c r="B16" s="30" t="s">
        <v>148</v>
      </c>
      <c r="C16" s="91">
        <v>0.08</v>
      </c>
      <c r="D16" s="30" t="s">
        <v>91</v>
      </c>
      <c r="E16" s="30" t="s">
        <v>92</v>
      </c>
      <c r="F16" s="92">
        <v>46215.0</v>
      </c>
      <c r="G16" s="30" t="s">
        <v>141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0" t="s">
        <v>122</v>
      </c>
      <c r="B17" s="30" t="s">
        <v>150</v>
      </c>
      <c r="C17" s="91">
        <v>0.12</v>
      </c>
      <c r="D17" s="30" t="s">
        <v>91</v>
      </c>
      <c r="E17" s="30" t="s">
        <v>92</v>
      </c>
      <c r="F17" s="92">
        <v>46215.0</v>
      </c>
      <c r="G17" s="3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0" t="s">
        <v>122</v>
      </c>
      <c r="B18" s="30" t="s">
        <v>152</v>
      </c>
      <c r="C18" s="91">
        <v>0.14</v>
      </c>
      <c r="D18" s="30" t="s">
        <v>91</v>
      </c>
      <c r="E18" s="30" t="s">
        <v>92</v>
      </c>
      <c r="F18" s="92">
        <v>46215.0</v>
      </c>
      <c r="G18" s="30" t="s">
        <v>141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0" t="s">
        <v>122</v>
      </c>
      <c r="B19" s="30" t="s">
        <v>154</v>
      </c>
      <c r="C19" s="91">
        <v>0.1</v>
      </c>
      <c r="D19" s="30" t="s">
        <v>91</v>
      </c>
      <c r="E19" s="30" t="s">
        <v>92</v>
      </c>
      <c r="F19" s="92">
        <v>46215.0</v>
      </c>
      <c r="G19" s="30" t="s">
        <v>141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0" t="s">
        <v>122</v>
      </c>
      <c r="B20" s="30" t="s">
        <v>155</v>
      </c>
      <c r="C20" s="91">
        <v>0.03</v>
      </c>
      <c r="D20" s="30" t="s">
        <v>91</v>
      </c>
      <c r="E20" s="30" t="s">
        <v>92</v>
      </c>
      <c r="F20" s="92">
        <v>46215.0</v>
      </c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0" t="s">
        <v>122</v>
      </c>
      <c r="B21" s="30" t="s">
        <v>158</v>
      </c>
      <c r="C21" s="91">
        <v>0.03</v>
      </c>
      <c r="D21" s="30" t="s">
        <v>91</v>
      </c>
      <c r="E21" s="30" t="s">
        <v>92</v>
      </c>
      <c r="F21" s="92">
        <v>46215.0</v>
      </c>
      <c r="G21" s="30" t="s">
        <v>141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0" t="s">
        <v>122</v>
      </c>
      <c r="B22" s="30" t="s">
        <v>160</v>
      </c>
      <c r="C22" s="91">
        <v>0.05</v>
      </c>
      <c r="D22" s="30" t="s">
        <v>91</v>
      </c>
      <c r="E22" s="30" t="s">
        <v>92</v>
      </c>
      <c r="F22" s="92">
        <v>46215.0</v>
      </c>
      <c r="G22" s="3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0" t="s">
        <v>122</v>
      </c>
      <c r="B23" s="30" t="s">
        <v>162</v>
      </c>
      <c r="C23" s="91">
        <v>0.07</v>
      </c>
      <c r="D23" s="30" t="s">
        <v>91</v>
      </c>
      <c r="E23" s="30" t="s">
        <v>92</v>
      </c>
      <c r="F23" s="92">
        <v>46215.0</v>
      </c>
      <c r="G23" s="30" t="s">
        <v>141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10"/>
      <c r="D24" s="1"/>
      <c r="E24" s="1"/>
      <c r="F24" s="10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96" t="s">
        <v>165</v>
      </c>
      <c r="B25" s="96" t="s">
        <v>166</v>
      </c>
      <c r="C25" s="106">
        <v>0.2</v>
      </c>
      <c r="D25" s="96" t="s">
        <v>91</v>
      </c>
      <c r="E25" s="96" t="s">
        <v>92</v>
      </c>
      <c r="F25" s="99">
        <v>46215.0</v>
      </c>
      <c r="G25" s="96" t="s">
        <v>168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0" t="s">
        <v>165</v>
      </c>
      <c r="B26" s="30" t="s">
        <v>169</v>
      </c>
      <c r="C26" s="91">
        <v>0.05</v>
      </c>
      <c r="D26" s="30" t="s">
        <v>91</v>
      </c>
      <c r="E26" s="30" t="s">
        <v>92</v>
      </c>
      <c r="F26" s="92">
        <v>46215.0</v>
      </c>
      <c r="G26" s="30" t="s">
        <v>168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0" t="s">
        <v>165</v>
      </c>
      <c r="B27" s="30" t="s">
        <v>170</v>
      </c>
      <c r="C27" s="91">
        <v>0.025</v>
      </c>
      <c r="D27" s="30" t="s">
        <v>91</v>
      </c>
      <c r="E27" s="30" t="s">
        <v>92</v>
      </c>
      <c r="F27" s="92">
        <v>46215.0</v>
      </c>
      <c r="G27" s="30" t="s">
        <v>168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0" t="s">
        <v>165</v>
      </c>
      <c r="B28" s="30" t="s">
        <v>172</v>
      </c>
      <c r="C28" s="91">
        <v>0.025</v>
      </c>
      <c r="D28" s="30" t="s">
        <v>91</v>
      </c>
      <c r="E28" s="30" t="s">
        <v>92</v>
      </c>
      <c r="F28" s="92">
        <v>46215.0</v>
      </c>
      <c r="G28" s="30" t="s">
        <v>168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0" t="s">
        <v>165</v>
      </c>
      <c r="B29" s="30" t="s">
        <v>175</v>
      </c>
      <c r="C29" s="91">
        <v>0.01</v>
      </c>
      <c r="D29" s="30" t="s">
        <v>91</v>
      </c>
      <c r="E29" s="30" t="s">
        <v>92</v>
      </c>
      <c r="F29" s="92">
        <v>46215.0</v>
      </c>
      <c r="G29" s="30" t="s">
        <v>168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03"/>
      <c r="D30" s="1"/>
      <c r="E30" s="1"/>
      <c r="F30" s="10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96" t="s">
        <v>179</v>
      </c>
      <c r="B31" s="96" t="s">
        <v>180</v>
      </c>
      <c r="C31" s="116">
        <f>'Market Data'!B9</f>
        <v>0.0363</v>
      </c>
      <c r="D31" s="96" t="s">
        <v>91</v>
      </c>
      <c r="E31" s="96" t="s">
        <v>182</v>
      </c>
      <c r="F31" s="117">
        <f>'Market Data'!D9</f>
        <v>46209</v>
      </c>
      <c r="G31" s="96" t="s">
        <v>184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0" t="s">
        <v>179</v>
      </c>
      <c r="B32" s="30" t="s">
        <v>185</v>
      </c>
      <c r="C32" s="91">
        <v>0.065</v>
      </c>
      <c r="D32" s="30" t="s">
        <v>91</v>
      </c>
      <c r="E32" s="30" t="s">
        <v>92</v>
      </c>
      <c r="F32" s="92">
        <v>46215.0</v>
      </c>
      <c r="G32" s="30" t="s">
        <v>186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0" t="s">
        <v>179</v>
      </c>
      <c r="B33" s="30" t="s">
        <v>188</v>
      </c>
      <c r="C33" s="91">
        <v>0.02</v>
      </c>
      <c r="D33" s="30" t="s">
        <v>91</v>
      </c>
      <c r="E33" s="30" t="s">
        <v>92</v>
      </c>
      <c r="F33" s="92">
        <v>46215.0</v>
      </c>
      <c r="G33" s="30" t="s">
        <v>189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0" t="s">
        <v>179</v>
      </c>
      <c r="B34" s="30" t="s">
        <v>190</v>
      </c>
      <c r="C34" s="91">
        <v>0.015</v>
      </c>
      <c r="D34" s="30" t="s">
        <v>91</v>
      </c>
      <c r="E34" s="30" t="s">
        <v>92</v>
      </c>
      <c r="F34" s="92">
        <v>46215.0</v>
      </c>
      <c r="G34" s="30" t="s">
        <v>191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0" t="s">
        <v>179</v>
      </c>
      <c r="B35" s="30" t="s">
        <v>192</v>
      </c>
      <c r="C35" s="91">
        <v>0.01</v>
      </c>
      <c r="D35" s="30" t="s">
        <v>91</v>
      </c>
      <c r="E35" s="30" t="s">
        <v>92</v>
      </c>
      <c r="F35" s="92">
        <v>46215.0</v>
      </c>
      <c r="G35" s="30" t="s">
        <v>193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0" t="s">
        <v>179</v>
      </c>
      <c r="B36" s="30" t="s">
        <v>30</v>
      </c>
      <c r="C36" s="120">
        <v>7.5E7</v>
      </c>
      <c r="D36" s="30" t="s">
        <v>114</v>
      </c>
      <c r="E36" s="30" t="s">
        <v>92</v>
      </c>
      <c r="F36" s="92">
        <v>46215.0</v>
      </c>
      <c r="G36" s="30" t="s">
        <v>194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0" t="s">
        <v>179</v>
      </c>
      <c r="B37" s="30" t="s">
        <v>25</v>
      </c>
      <c r="C37" s="123">
        <v>5.0</v>
      </c>
      <c r="D37" s="30" t="s">
        <v>195</v>
      </c>
      <c r="E37" s="30" t="s">
        <v>92</v>
      </c>
      <c r="F37" s="92">
        <v>46215.0</v>
      </c>
      <c r="G37" s="30" t="s">
        <v>196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0" t="s">
        <v>179</v>
      </c>
      <c r="B38" s="30" t="s">
        <v>197</v>
      </c>
      <c r="C38" s="91">
        <v>0.02</v>
      </c>
      <c r="D38" s="30" t="s">
        <v>91</v>
      </c>
      <c r="E38" s="30" t="s">
        <v>92</v>
      </c>
      <c r="F38" s="92">
        <v>46215.0</v>
      </c>
      <c r="G38" s="30" t="s">
        <v>198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0" t="s">
        <v>179</v>
      </c>
      <c r="B39" s="30" t="s">
        <v>199</v>
      </c>
      <c r="C39" s="91">
        <v>0.5</v>
      </c>
      <c r="D39" s="30" t="s">
        <v>91</v>
      </c>
      <c r="E39" s="30" t="s">
        <v>92</v>
      </c>
      <c r="F39" s="92">
        <v>46215.0</v>
      </c>
      <c r="G39" s="30" t="s">
        <v>200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03"/>
      <c r="D40" s="1"/>
      <c r="E40" s="1"/>
      <c r="F40" s="10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96" t="s">
        <v>201</v>
      </c>
      <c r="B41" s="96" t="s">
        <v>202</v>
      </c>
      <c r="C41" s="126">
        <f>'Library Valuation'!B32</f>
        <v>132046743.9</v>
      </c>
      <c r="D41" s="96" t="s">
        <v>114</v>
      </c>
      <c r="E41" s="96" t="s">
        <v>203</v>
      </c>
      <c r="F41" s="99">
        <v>46215.0</v>
      </c>
      <c r="G41" s="96" t="s">
        <v>204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0" t="s">
        <v>201</v>
      </c>
      <c r="B42" s="30" t="s">
        <v>205</v>
      </c>
      <c r="C42" s="120">
        <v>1.85E7</v>
      </c>
      <c r="D42" s="30" t="s">
        <v>114</v>
      </c>
      <c r="E42" s="30" t="s">
        <v>92</v>
      </c>
      <c r="F42" s="92">
        <v>46215.0</v>
      </c>
      <c r="G42" s="30" t="s">
        <v>206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0" t="s">
        <v>201</v>
      </c>
      <c r="B43" s="30" t="s">
        <v>207</v>
      </c>
      <c r="C43" s="120">
        <v>1.2E7</v>
      </c>
      <c r="D43" s="30" t="s">
        <v>114</v>
      </c>
      <c r="E43" s="30" t="s">
        <v>92</v>
      </c>
      <c r="F43" s="92">
        <v>46215.0</v>
      </c>
      <c r="G43" s="30" t="s">
        <v>206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0" t="s">
        <v>201</v>
      </c>
      <c r="B44" s="30" t="s">
        <v>208</v>
      </c>
      <c r="C44" s="120">
        <v>8000000.0</v>
      </c>
      <c r="D44" s="30" t="s">
        <v>114</v>
      </c>
      <c r="E44" s="30" t="s">
        <v>92</v>
      </c>
      <c r="F44" s="92">
        <v>46215.0</v>
      </c>
      <c r="G44" s="30" t="s">
        <v>209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0" t="s">
        <v>201</v>
      </c>
      <c r="B45" s="30" t="s">
        <v>163</v>
      </c>
      <c r="C45" s="120">
        <v>5000000.0</v>
      </c>
      <c r="D45" s="30" t="s">
        <v>114</v>
      </c>
      <c r="E45" s="30" t="s">
        <v>92</v>
      </c>
      <c r="F45" s="92">
        <v>46215.0</v>
      </c>
      <c r="G45" s="30" t="s">
        <v>209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0" t="s">
        <v>201</v>
      </c>
      <c r="B46" s="30" t="s">
        <v>210</v>
      </c>
      <c r="C46" s="120">
        <v>3000000.0</v>
      </c>
      <c r="D46" s="30" t="s">
        <v>114</v>
      </c>
      <c r="E46" s="30" t="s">
        <v>92</v>
      </c>
      <c r="F46" s="92">
        <v>46215.0</v>
      </c>
      <c r="G46" s="30" t="s">
        <v>209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27"/>
      <c r="D47" s="1"/>
      <c r="E47" s="1"/>
      <c r="F47" s="10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96" t="s">
        <v>211</v>
      </c>
      <c r="B48" s="96" t="s">
        <v>147</v>
      </c>
      <c r="C48" s="106">
        <v>0.5</v>
      </c>
      <c r="D48" s="96" t="s">
        <v>91</v>
      </c>
      <c r="E48" s="96" t="s">
        <v>92</v>
      </c>
      <c r="F48" s="99">
        <v>46215.0</v>
      </c>
      <c r="G48" s="96" t="s">
        <v>123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0" t="s">
        <v>211</v>
      </c>
      <c r="B49" s="30" t="s">
        <v>151</v>
      </c>
      <c r="C49" s="91">
        <v>0.85</v>
      </c>
      <c r="D49" s="30" t="s">
        <v>91</v>
      </c>
      <c r="E49" s="30" t="s">
        <v>92</v>
      </c>
      <c r="F49" s="92">
        <v>46215.0</v>
      </c>
      <c r="G49" s="30" t="s">
        <v>123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0" t="s">
        <v>211</v>
      </c>
      <c r="B50" s="30" t="s">
        <v>156</v>
      </c>
      <c r="C50" s="91">
        <v>0.7</v>
      </c>
      <c r="D50" s="30" t="s">
        <v>91</v>
      </c>
      <c r="E50" s="30" t="s">
        <v>92</v>
      </c>
      <c r="F50" s="92">
        <v>46215.0</v>
      </c>
      <c r="G50" s="30" t="s">
        <v>123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0" t="s">
        <v>211</v>
      </c>
      <c r="B51" s="30" t="s">
        <v>159</v>
      </c>
      <c r="C51" s="91">
        <v>0.75</v>
      </c>
      <c r="D51" s="30" t="s">
        <v>91</v>
      </c>
      <c r="E51" s="30" t="s">
        <v>92</v>
      </c>
      <c r="F51" s="92">
        <v>46215.0</v>
      </c>
      <c r="G51" s="30" t="s">
        <v>123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0" t="s">
        <v>211</v>
      </c>
      <c r="B52" s="30" t="s">
        <v>163</v>
      </c>
      <c r="C52" s="91">
        <v>1.0</v>
      </c>
      <c r="D52" s="30" t="s">
        <v>91</v>
      </c>
      <c r="E52" s="30" t="s">
        <v>92</v>
      </c>
      <c r="F52" s="92">
        <v>46215.0</v>
      </c>
      <c r="G52" s="30" t="s">
        <v>123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0" t="s">
        <v>211</v>
      </c>
      <c r="B53" s="30" t="s">
        <v>167</v>
      </c>
      <c r="C53" s="91">
        <v>0.25</v>
      </c>
      <c r="D53" s="30" t="s">
        <v>91</v>
      </c>
      <c r="E53" s="30" t="s">
        <v>92</v>
      </c>
      <c r="F53" s="92">
        <v>46215.0</v>
      </c>
      <c r="G53" s="30" t="s">
        <v>123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10"/>
      <c r="D54" s="1"/>
      <c r="E54" s="1"/>
      <c r="F54" s="10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96" t="s">
        <v>212</v>
      </c>
      <c r="B55" s="96" t="s">
        <v>147</v>
      </c>
      <c r="C55" s="106">
        <v>0.1</v>
      </c>
      <c r="D55" s="96" t="s">
        <v>91</v>
      </c>
      <c r="E55" s="96" t="s">
        <v>92</v>
      </c>
      <c r="F55" s="99">
        <v>46215.0</v>
      </c>
      <c r="G55" s="96" t="s">
        <v>213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0" t="s">
        <v>212</v>
      </c>
      <c r="B56" s="30" t="s">
        <v>151</v>
      </c>
      <c r="C56" s="91">
        <v>0.05</v>
      </c>
      <c r="D56" s="30" t="s">
        <v>91</v>
      </c>
      <c r="E56" s="30" t="s">
        <v>92</v>
      </c>
      <c r="F56" s="92">
        <v>46215.0</v>
      </c>
      <c r="G56" s="30" t="s">
        <v>213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0" t="s">
        <v>212</v>
      </c>
      <c r="B57" s="30" t="s">
        <v>156</v>
      </c>
      <c r="C57" s="91">
        <v>0.1</v>
      </c>
      <c r="D57" s="30" t="s">
        <v>91</v>
      </c>
      <c r="E57" s="30" t="s">
        <v>92</v>
      </c>
      <c r="F57" s="92">
        <v>46215.0</v>
      </c>
      <c r="G57" s="30" t="s">
        <v>213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0" t="s">
        <v>212</v>
      </c>
      <c r="B58" s="30" t="s">
        <v>159</v>
      </c>
      <c r="C58" s="91">
        <v>0.15</v>
      </c>
      <c r="D58" s="30" t="s">
        <v>91</v>
      </c>
      <c r="E58" s="30" t="s">
        <v>92</v>
      </c>
      <c r="F58" s="92">
        <v>46215.0</v>
      </c>
      <c r="G58" s="30" t="s">
        <v>213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0" t="s">
        <v>212</v>
      </c>
      <c r="B59" s="30" t="s">
        <v>163</v>
      </c>
      <c r="C59" s="91">
        <v>0.0</v>
      </c>
      <c r="D59" s="30" t="s">
        <v>91</v>
      </c>
      <c r="E59" s="30" t="s">
        <v>92</v>
      </c>
      <c r="F59" s="92">
        <v>46215.0</v>
      </c>
      <c r="G59" s="30" t="s">
        <v>213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0" t="s">
        <v>212</v>
      </c>
      <c r="B60" s="30" t="s">
        <v>167</v>
      </c>
      <c r="C60" s="91">
        <v>0.25</v>
      </c>
      <c r="D60" s="30" t="s">
        <v>91</v>
      </c>
      <c r="E60" s="30" t="s">
        <v>92</v>
      </c>
      <c r="F60" s="92">
        <v>46215.0</v>
      </c>
      <c r="G60" s="30" t="s">
        <v>213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10"/>
      <c r="D61" s="1"/>
      <c r="E61" s="1"/>
      <c r="F61" s="10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96" t="s">
        <v>214</v>
      </c>
      <c r="B62" s="96" t="s">
        <v>215</v>
      </c>
      <c r="C62" s="106">
        <v>0.65</v>
      </c>
      <c r="D62" s="96" t="s">
        <v>91</v>
      </c>
      <c r="E62" s="96" t="s">
        <v>92</v>
      </c>
      <c r="F62" s="99">
        <v>46215.0</v>
      </c>
      <c r="G62" s="96" t="s">
        <v>216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0" t="s">
        <v>214</v>
      </c>
      <c r="B63" s="30" t="s">
        <v>217</v>
      </c>
      <c r="C63" s="91">
        <v>0.08</v>
      </c>
      <c r="D63" s="30" t="s">
        <v>91</v>
      </c>
      <c r="E63" s="30" t="s">
        <v>92</v>
      </c>
      <c r="F63" s="92">
        <v>46215.0</v>
      </c>
      <c r="G63" s="30" t="s">
        <v>218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0" t="s">
        <v>214</v>
      </c>
      <c r="B64" s="30" t="s">
        <v>219</v>
      </c>
      <c r="C64" s="128">
        <f>1-C62</f>
        <v>0.35</v>
      </c>
      <c r="D64" s="30" t="s">
        <v>91</v>
      </c>
      <c r="E64" s="30" t="s">
        <v>203</v>
      </c>
      <c r="F64" s="92">
        <v>46215.0</v>
      </c>
      <c r="G64" s="30" t="s">
        <v>220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0" t="s">
        <v>214</v>
      </c>
      <c r="B65" s="30" t="s">
        <v>221</v>
      </c>
      <c r="C65" s="123">
        <v>2.0</v>
      </c>
      <c r="D65" s="30" t="s">
        <v>195</v>
      </c>
      <c r="E65" s="30" t="s">
        <v>92</v>
      </c>
      <c r="F65" s="92">
        <v>46215.0</v>
      </c>
      <c r="G65" s="30" t="s">
        <v>222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27"/>
      <c r="D66" s="1"/>
      <c r="E66" s="1"/>
      <c r="F66" s="10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96" t="s">
        <v>223</v>
      </c>
      <c r="B67" s="96" t="s">
        <v>224</v>
      </c>
      <c r="C67" s="106">
        <v>0.025</v>
      </c>
      <c r="D67" s="96" t="s">
        <v>91</v>
      </c>
      <c r="E67" s="96" t="s">
        <v>92</v>
      </c>
      <c r="F67" s="99">
        <v>46215.0</v>
      </c>
      <c r="G67" s="96" t="s">
        <v>225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0" t="s">
        <v>223</v>
      </c>
      <c r="B68" s="30" t="s">
        <v>226</v>
      </c>
      <c r="C68" s="129">
        <v>1.0</v>
      </c>
      <c r="D68" s="30" t="s">
        <v>227</v>
      </c>
      <c r="E68" s="30" t="s">
        <v>92</v>
      </c>
      <c r="F68" s="92">
        <v>46215.0</v>
      </c>
      <c r="G68" s="30" t="s">
        <v>228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03"/>
      <c r="D69" s="1"/>
      <c r="E69" s="1"/>
      <c r="F69" s="10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30" t="s">
        <v>229</v>
      </c>
      <c r="B70" s="130" t="s">
        <v>176</v>
      </c>
      <c r="C70" s="131">
        <f>SUM(C14:C23)</f>
        <v>1</v>
      </c>
      <c r="D70" s="132">
        <v>1.0</v>
      </c>
      <c r="E70" s="130" t="s">
        <v>230</v>
      </c>
      <c r="F70" s="133">
        <v>46215.0</v>
      </c>
      <c r="G70" s="134" t="str">
        <f>IF(ABS(C70-1)&lt;0.0001,"PASS","FAIL")</f>
        <v>PASS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03"/>
      <c r="D71" s="1"/>
      <c r="E71" s="1"/>
      <c r="F71" s="10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96" t="s">
        <v>56</v>
      </c>
      <c r="B72" s="96" t="s">
        <v>231</v>
      </c>
      <c r="C72" s="106">
        <v>0.75</v>
      </c>
      <c r="D72" s="96" t="s">
        <v>91</v>
      </c>
      <c r="E72" s="96" t="s">
        <v>92</v>
      </c>
      <c r="F72" s="99">
        <v>46215.0</v>
      </c>
      <c r="G72" s="96" t="s">
        <v>123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0" t="s">
        <v>56</v>
      </c>
      <c r="B73" s="30" t="s">
        <v>232</v>
      </c>
      <c r="C73" s="91">
        <v>0.9</v>
      </c>
      <c r="D73" s="30" t="s">
        <v>91</v>
      </c>
      <c r="E73" s="30" t="s">
        <v>92</v>
      </c>
      <c r="F73" s="92">
        <v>46215.0</v>
      </c>
      <c r="G73" s="30" t="s">
        <v>123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0" t="s">
        <v>56</v>
      </c>
      <c r="B74" s="30" t="s">
        <v>233</v>
      </c>
      <c r="C74" s="91">
        <v>0.7</v>
      </c>
      <c r="D74" s="30" t="s">
        <v>91</v>
      </c>
      <c r="E74" s="30" t="s">
        <v>92</v>
      </c>
      <c r="F74" s="92">
        <v>46215.0</v>
      </c>
      <c r="G74" s="30" t="s">
        <v>123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0" t="s">
        <v>56</v>
      </c>
      <c r="B75" s="30" t="s">
        <v>234</v>
      </c>
      <c r="C75" s="91">
        <v>1.0</v>
      </c>
      <c r="D75" s="30" t="s">
        <v>91</v>
      </c>
      <c r="E75" s="30" t="s">
        <v>92</v>
      </c>
      <c r="F75" s="92">
        <v>46215.0</v>
      </c>
      <c r="G75" s="30" t="s">
        <v>123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0" t="s">
        <v>56</v>
      </c>
      <c r="B76" s="30" t="s">
        <v>235</v>
      </c>
      <c r="C76" s="91">
        <v>0.25</v>
      </c>
      <c r="D76" s="30" t="s">
        <v>91</v>
      </c>
      <c r="E76" s="30" t="s">
        <v>92</v>
      </c>
      <c r="F76" s="92">
        <v>46215.0</v>
      </c>
      <c r="G76" s="30" t="s">
        <v>123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27"/>
      <c r="D77" s="1"/>
      <c r="E77" s="1"/>
      <c r="F77" s="10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96" t="s">
        <v>236</v>
      </c>
      <c r="B78" s="96" t="s">
        <v>237</v>
      </c>
      <c r="C78" s="135">
        <v>4.0</v>
      </c>
      <c r="D78" s="96" t="s">
        <v>238</v>
      </c>
      <c r="E78" s="96" t="s">
        <v>92</v>
      </c>
      <c r="F78" s="99">
        <v>46215.0</v>
      </c>
      <c r="G78" s="96" t="s">
        <v>123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0" t="s">
        <v>236</v>
      </c>
      <c r="B79" s="30" t="s">
        <v>239</v>
      </c>
      <c r="C79" s="123">
        <v>3.0</v>
      </c>
      <c r="D79" s="30" t="s">
        <v>238</v>
      </c>
      <c r="E79" s="30" t="s">
        <v>92</v>
      </c>
      <c r="F79" s="92">
        <v>46215.0</v>
      </c>
      <c r="G79" s="30" t="s">
        <v>123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0" t="s">
        <v>236</v>
      </c>
      <c r="B80" s="30" t="s">
        <v>240</v>
      </c>
      <c r="C80" s="123">
        <v>3.0</v>
      </c>
      <c r="D80" s="30" t="s">
        <v>238</v>
      </c>
      <c r="E80" s="30" t="s">
        <v>92</v>
      </c>
      <c r="F80" s="92">
        <v>46215.0</v>
      </c>
      <c r="G80" s="30" t="s">
        <v>123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0" t="s">
        <v>236</v>
      </c>
      <c r="B81" s="30" t="s">
        <v>241</v>
      </c>
      <c r="C81" s="123">
        <v>3.0</v>
      </c>
      <c r="D81" s="30" t="s">
        <v>238</v>
      </c>
      <c r="E81" s="30" t="s">
        <v>92</v>
      </c>
      <c r="F81" s="92">
        <v>46215.0</v>
      </c>
      <c r="G81" s="30" t="s">
        <v>123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0" t="s">
        <v>236</v>
      </c>
      <c r="B82" s="30" t="s">
        <v>242</v>
      </c>
      <c r="C82" s="123">
        <v>4.0</v>
      </c>
      <c r="D82" s="30" t="s">
        <v>238</v>
      </c>
      <c r="E82" s="30" t="s">
        <v>92</v>
      </c>
      <c r="F82" s="92">
        <v>46215.0</v>
      </c>
      <c r="G82" s="30" t="s">
        <v>123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0" t="s">
        <v>236</v>
      </c>
      <c r="B83" s="30" t="s">
        <v>243</v>
      </c>
      <c r="C83" s="123">
        <v>3.0</v>
      </c>
      <c r="D83" s="30" t="s">
        <v>238</v>
      </c>
      <c r="E83" s="30" t="s">
        <v>92</v>
      </c>
      <c r="F83" s="92">
        <v>46215.0</v>
      </c>
      <c r="G83" s="30" t="s">
        <v>123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0" t="s">
        <v>236</v>
      </c>
      <c r="B84" s="30" t="s">
        <v>244</v>
      </c>
      <c r="C84" s="123">
        <v>3.0</v>
      </c>
      <c r="D84" s="30" t="s">
        <v>238</v>
      </c>
      <c r="E84" s="30" t="s">
        <v>92</v>
      </c>
      <c r="F84" s="92">
        <v>46215.0</v>
      </c>
      <c r="G84" s="30" t="s">
        <v>123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0" t="s">
        <v>236</v>
      </c>
      <c r="B85" s="30" t="s">
        <v>245</v>
      </c>
      <c r="C85" s="123">
        <v>2.0</v>
      </c>
      <c r="D85" s="30" t="s">
        <v>238</v>
      </c>
      <c r="E85" s="30" t="s">
        <v>92</v>
      </c>
      <c r="F85" s="92">
        <v>46215.0</v>
      </c>
      <c r="G85" s="30" t="s">
        <v>123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36" t="s">
        <v>40</v>
      </c>
      <c r="B87" s="121"/>
      <c r="C87" s="121"/>
      <c r="D87" s="121"/>
      <c r="E87" s="121"/>
      <c r="F87" s="121"/>
      <c r="G87" s="12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37" t="s">
        <v>246</v>
      </c>
      <c r="B88" s="124"/>
      <c r="C88" s="124"/>
      <c r="D88" s="124"/>
      <c r="E88" s="124"/>
      <c r="F88" s="124"/>
      <c r="G88" s="1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63"/>
    <col customWidth="1" min="2" max="2" width="13.88"/>
    <col customWidth="1" min="3" max="3" width="20.38"/>
    <col customWidth="1" min="4" max="4" width="23.88"/>
    <col customWidth="1" min="5" max="5" width="20.38"/>
    <col customWidth="1" min="6" max="6" width="23.13"/>
    <col customWidth="1" min="7" max="7" width="21.5"/>
    <col customWidth="1" min="8" max="8" width="18.5"/>
    <col customWidth="1" min="9" max="9" width="18.13"/>
    <col customWidth="1" min="10" max="10" width="17.63"/>
    <col customWidth="1" min="11" max="11" width="23.5"/>
  </cols>
  <sheetData>
    <row r="1">
      <c r="A1" s="3" t="s">
        <v>247</v>
      </c>
      <c r="B1" s="8"/>
      <c r="C1" s="8"/>
      <c r="D1" s="8"/>
      <c r="E1" s="8"/>
      <c r="F1" s="8"/>
      <c r="G1" s="8"/>
      <c r="H1" s="8"/>
      <c r="I1" s="8"/>
      <c r="J1" s="8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248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249</v>
      </c>
      <c r="B4" s="12" t="s">
        <v>149</v>
      </c>
      <c r="C4" s="12" t="s">
        <v>153</v>
      </c>
      <c r="D4" s="12" t="s">
        <v>157</v>
      </c>
      <c r="E4" s="12" t="s">
        <v>161</v>
      </c>
      <c r="F4" s="12" t="s">
        <v>164</v>
      </c>
      <c r="G4" s="12" t="s">
        <v>250</v>
      </c>
      <c r="H4" s="12" t="s">
        <v>251</v>
      </c>
      <c r="I4" s="12" t="s">
        <v>252</v>
      </c>
      <c r="J4" s="12" t="s">
        <v>253</v>
      </c>
      <c r="K4" s="12" t="s">
        <v>254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140</v>
      </c>
      <c r="B5" s="138">
        <f>'Inputs &amp; Assumptions'!$C$7*'Inputs &amp; Assumptions'!$C$14</f>
        <v>7000000</v>
      </c>
      <c r="C5" s="138">
        <f t="shared" ref="C5:K5" si="1">B5*(1+C$16)</f>
        <v>5600000</v>
      </c>
      <c r="D5" s="138">
        <f t="shared" si="1"/>
        <v>4480000</v>
      </c>
      <c r="E5" s="138">
        <f t="shared" si="1"/>
        <v>3808000</v>
      </c>
      <c r="F5" s="138">
        <f t="shared" si="1"/>
        <v>3617600</v>
      </c>
      <c r="G5" s="138">
        <f t="shared" si="1"/>
        <v>3509072</v>
      </c>
      <c r="H5" s="138">
        <f t="shared" si="1"/>
        <v>3403799.84</v>
      </c>
      <c r="I5" s="138">
        <f t="shared" si="1"/>
        <v>3301685.845</v>
      </c>
      <c r="J5" s="138">
        <f t="shared" si="1"/>
        <v>3202635.269</v>
      </c>
      <c r="K5" s="138">
        <f t="shared" si="1"/>
        <v>3106556.211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146</v>
      </c>
      <c r="B6" s="138">
        <f>'Inputs &amp; Assumptions'!$C$7*'Inputs &amp; Assumptions'!$C$15</f>
        <v>2500000</v>
      </c>
      <c r="C6" s="138">
        <f t="shared" ref="C6:K6" si="2">B6*(1+C$16)</f>
        <v>2000000</v>
      </c>
      <c r="D6" s="138">
        <f t="shared" si="2"/>
        <v>1600000</v>
      </c>
      <c r="E6" s="138">
        <f t="shared" si="2"/>
        <v>1360000</v>
      </c>
      <c r="F6" s="138">
        <f t="shared" si="2"/>
        <v>1292000</v>
      </c>
      <c r="G6" s="138">
        <f t="shared" si="2"/>
        <v>1253240</v>
      </c>
      <c r="H6" s="138">
        <f t="shared" si="2"/>
        <v>1215642.8</v>
      </c>
      <c r="I6" s="138">
        <f t="shared" si="2"/>
        <v>1179173.516</v>
      </c>
      <c r="J6" s="138">
        <f t="shared" si="2"/>
        <v>1143798.311</v>
      </c>
      <c r="K6" s="138">
        <f t="shared" si="2"/>
        <v>1109484.361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148</v>
      </c>
      <c r="B7" s="138">
        <f>'Inputs &amp; Assumptions'!$C$7*'Inputs &amp; Assumptions'!$C$16</f>
        <v>2000000</v>
      </c>
      <c r="C7" s="138">
        <f t="shared" ref="C7:K7" si="3">B7*(1+C$16)</f>
        <v>1600000</v>
      </c>
      <c r="D7" s="138">
        <f t="shared" si="3"/>
        <v>1280000</v>
      </c>
      <c r="E7" s="138">
        <f t="shared" si="3"/>
        <v>1088000</v>
      </c>
      <c r="F7" s="138">
        <f t="shared" si="3"/>
        <v>1033600</v>
      </c>
      <c r="G7" s="138">
        <f t="shared" si="3"/>
        <v>1002592</v>
      </c>
      <c r="H7" s="138">
        <f t="shared" si="3"/>
        <v>972514.24</v>
      </c>
      <c r="I7" s="138">
        <f t="shared" si="3"/>
        <v>943338.8128</v>
      </c>
      <c r="J7" s="138">
        <f t="shared" si="3"/>
        <v>915038.6484</v>
      </c>
      <c r="K7" s="138">
        <f t="shared" si="3"/>
        <v>887587.489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150</v>
      </c>
      <c r="B8" s="138">
        <f>'Inputs &amp; Assumptions'!$C$7*'Inputs &amp; Assumptions'!$C$17</f>
        <v>3000000</v>
      </c>
      <c r="C8" s="138">
        <f t="shared" ref="C8:K8" si="4">B8*(1+C$16)</f>
        <v>2400000</v>
      </c>
      <c r="D8" s="138">
        <f t="shared" si="4"/>
        <v>1920000</v>
      </c>
      <c r="E8" s="138">
        <f t="shared" si="4"/>
        <v>1632000</v>
      </c>
      <c r="F8" s="138">
        <f t="shared" si="4"/>
        <v>1550400</v>
      </c>
      <c r="G8" s="138">
        <f t="shared" si="4"/>
        <v>1503888</v>
      </c>
      <c r="H8" s="138">
        <f t="shared" si="4"/>
        <v>1458771.36</v>
      </c>
      <c r="I8" s="138">
        <f t="shared" si="4"/>
        <v>1415008.219</v>
      </c>
      <c r="J8" s="138">
        <f t="shared" si="4"/>
        <v>1372557.973</v>
      </c>
      <c r="K8" s="138">
        <f t="shared" si="4"/>
        <v>1331381.233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152</v>
      </c>
      <c r="B9" s="138">
        <f>'Inputs &amp; Assumptions'!$C$7*'Inputs &amp; Assumptions'!$C$18</f>
        <v>3500000</v>
      </c>
      <c r="C9" s="138">
        <f t="shared" ref="C9:K9" si="5">B9*(1+C$16)</f>
        <v>2800000</v>
      </c>
      <c r="D9" s="138">
        <f t="shared" si="5"/>
        <v>2240000</v>
      </c>
      <c r="E9" s="138">
        <f t="shared" si="5"/>
        <v>1904000</v>
      </c>
      <c r="F9" s="138">
        <f t="shared" si="5"/>
        <v>1808800</v>
      </c>
      <c r="G9" s="138">
        <f t="shared" si="5"/>
        <v>1754536</v>
      </c>
      <c r="H9" s="138">
        <f t="shared" si="5"/>
        <v>1701899.92</v>
      </c>
      <c r="I9" s="138">
        <f t="shared" si="5"/>
        <v>1650842.922</v>
      </c>
      <c r="J9" s="138">
        <f t="shared" si="5"/>
        <v>1601317.635</v>
      </c>
      <c r="K9" s="138">
        <f t="shared" si="5"/>
        <v>1553278.106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0" t="s">
        <v>154</v>
      </c>
      <c r="B10" s="138">
        <f>'Inputs &amp; Assumptions'!$C$7*'Inputs &amp; Assumptions'!$C$19</f>
        <v>2500000</v>
      </c>
      <c r="C10" s="138">
        <f t="shared" ref="C10:K10" si="6">B10*(1+C$16)</f>
        <v>2000000</v>
      </c>
      <c r="D10" s="138">
        <f t="shared" si="6"/>
        <v>1600000</v>
      </c>
      <c r="E10" s="138">
        <f t="shared" si="6"/>
        <v>1360000</v>
      </c>
      <c r="F10" s="138">
        <f t="shared" si="6"/>
        <v>1292000</v>
      </c>
      <c r="G10" s="138">
        <f t="shared" si="6"/>
        <v>1253240</v>
      </c>
      <c r="H10" s="138">
        <f t="shared" si="6"/>
        <v>1215642.8</v>
      </c>
      <c r="I10" s="138">
        <f t="shared" si="6"/>
        <v>1179173.516</v>
      </c>
      <c r="J10" s="138">
        <f t="shared" si="6"/>
        <v>1143798.311</v>
      </c>
      <c r="K10" s="138">
        <f t="shared" si="6"/>
        <v>1109484.361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0" t="s">
        <v>155</v>
      </c>
      <c r="B11" s="138">
        <f>'Inputs &amp; Assumptions'!$C$7*'Inputs &amp; Assumptions'!$C$20</f>
        <v>750000</v>
      </c>
      <c r="C11" s="138">
        <f t="shared" ref="C11:K11" si="7">B11*(1+C$16)</f>
        <v>600000</v>
      </c>
      <c r="D11" s="138">
        <f t="shared" si="7"/>
        <v>480000</v>
      </c>
      <c r="E11" s="138">
        <f t="shared" si="7"/>
        <v>408000</v>
      </c>
      <c r="F11" s="138">
        <f t="shared" si="7"/>
        <v>387600</v>
      </c>
      <c r="G11" s="138">
        <f t="shared" si="7"/>
        <v>375972</v>
      </c>
      <c r="H11" s="138">
        <f t="shared" si="7"/>
        <v>364692.84</v>
      </c>
      <c r="I11" s="138">
        <f t="shared" si="7"/>
        <v>353752.0548</v>
      </c>
      <c r="J11" s="138">
        <f t="shared" si="7"/>
        <v>343139.4932</v>
      </c>
      <c r="K11" s="138">
        <f t="shared" si="7"/>
        <v>332845.3084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0" t="s">
        <v>158</v>
      </c>
      <c r="B12" s="138">
        <f>'Inputs &amp; Assumptions'!$C$7*'Inputs &amp; Assumptions'!$C$21</f>
        <v>750000</v>
      </c>
      <c r="C12" s="138">
        <f t="shared" ref="C12:K12" si="8">B12*(1+C$16)</f>
        <v>600000</v>
      </c>
      <c r="D12" s="138">
        <f t="shared" si="8"/>
        <v>480000</v>
      </c>
      <c r="E12" s="138">
        <f t="shared" si="8"/>
        <v>408000</v>
      </c>
      <c r="F12" s="138">
        <f t="shared" si="8"/>
        <v>387600</v>
      </c>
      <c r="G12" s="138">
        <f t="shared" si="8"/>
        <v>375972</v>
      </c>
      <c r="H12" s="138">
        <f t="shared" si="8"/>
        <v>364692.84</v>
      </c>
      <c r="I12" s="138">
        <f t="shared" si="8"/>
        <v>353752.0548</v>
      </c>
      <c r="J12" s="138">
        <f t="shared" si="8"/>
        <v>343139.4932</v>
      </c>
      <c r="K12" s="138">
        <f t="shared" si="8"/>
        <v>332845.3084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0" t="s">
        <v>160</v>
      </c>
      <c r="B13" s="138">
        <f>'Inputs &amp; Assumptions'!$C$7*'Inputs &amp; Assumptions'!$C$22</f>
        <v>1250000</v>
      </c>
      <c r="C13" s="138">
        <f t="shared" ref="C13:K13" si="9">B13*(1+C$16)</f>
        <v>1000000</v>
      </c>
      <c r="D13" s="138">
        <f t="shared" si="9"/>
        <v>800000</v>
      </c>
      <c r="E13" s="138">
        <f t="shared" si="9"/>
        <v>680000</v>
      </c>
      <c r="F13" s="138">
        <f t="shared" si="9"/>
        <v>646000</v>
      </c>
      <c r="G13" s="138">
        <f t="shared" si="9"/>
        <v>626620</v>
      </c>
      <c r="H13" s="138">
        <f t="shared" si="9"/>
        <v>607821.4</v>
      </c>
      <c r="I13" s="138">
        <f t="shared" si="9"/>
        <v>589586.758</v>
      </c>
      <c r="J13" s="138">
        <f t="shared" si="9"/>
        <v>571899.1553</v>
      </c>
      <c r="K13" s="138">
        <f t="shared" si="9"/>
        <v>554742.1806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0" t="s">
        <v>162</v>
      </c>
      <c r="B14" s="138">
        <f>'Inputs &amp; Assumptions'!$C$7*'Inputs &amp; Assumptions'!$C$23</f>
        <v>1750000</v>
      </c>
      <c r="C14" s="138">
        <f t="shared" ref="C14:K14" si="10">B14*(1+C$16)</f>
        <v>1400000</v>
      </c>
      <c r="D14" s="138">
        <f t="shared" si="10"/>
        <v>1120000</v>
      </c>
      <c r="E14" s="138">
        <f t="shared" si="10"/>
        <v>952000</v>
      </c>
      <c r="F14" s="138">
        <f t="shared" si="10"/>
        <v>904400</v>
      </c>
      <c r="G14" s="138">
        <f t="shared" si="10"/>
        <v>877268</v>
      </c>
      <c r="H14" s="138">
        <f t="shared" si="10"/>
        <v>850949.96</v>
      </c>
      <c r="I14" s="138">
        <f t="shared" si="10"/>
        <v>825421.4612</v>
      </c>
      <c r="J14" s="138">
        <f t="shared" si="10"/>
        <v>800658.8174</v>
      </c>
      <c r="K14" s="138">
        <f t="shared" si="10"/>
        <v>776639.0528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9" t="s">
        <v>255</v>
      </c>
      <c r="B15" s="140">
        <f t="shared" ref="B15:K15" si="11">SUM(B5:B14)</f>
        <v>25000000</v>
      </c>
      <c r="C15" s="140">
        <f t="shared" si="11"/>
        <v>20000000</v>
      </c>
      <c r="D15" s="140">
        <f t="shared" si="11"/>
        <v>16000000</v>
      </c>
      <c r="E15" s="140">
        <f t="shared" si="11"/>
        <v>13600000</v>
      </c>
      <c r="F15" s="140">
        <f t="shared" si="11"/>
        <v>12920000</v>
      </c>
      <c r="G15" s="140">
        <f t="shared" si="11"/>
        <v>12532400</v>
      </c>
      <c r="H15" s="140">
        <f t="shared" si="11"/>
        <v>12156428</v>
      </c>
      <c r="I15" s="140">
        <f t="shared" si="11"/>
        <v>11791735.16</v>
      </c>
      <c r="J15" s="140">
        <f t="shared" si="11"/>
        <v>11437983.11</v>
      </c>
      <c r="K15" s="140">
        <f t="shared" si="11"/>
        <v>11094843.61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0" t="s">
        <v>256</v>
      </c>
      <c r="B16" s="141">
        <v>0.0</v>
      </c>
      <c r="C16" s="142">
        <f>'Inputs &amp; Assumptions'!$C$8</f>
        <v>-0.2</v>
      </c>
      <c r="D16" s="142">
        <f>'Inputs &amp; Assumptions'!$C$9</f>
        <v>-0.2</v>
      </c>
      <c r="E16" s="142">
        <f>'Inputs &amp; Assumptions'!$C$10</f>
        <v>-0.15</v>
      </c>
      <c r="F16" s="142">
        <f>'Inputs &amp; Assumptions'!$C$11</f>
        <v>-0.05</v>
      </c>
      <c r="G16" s="142">
        <f>'Inputs &amp; Assumptions'!$C$12</f>
        <v>-0.03</v>
      </c>
      <c r="H16" s="142">
        <f>'Inputs &amp; Assumptions'!$C$12</f>
        <v>-0.03</v>
      </c>
      <c r="I16" s="142">
        <f>'Inputs &amp; Assumptions'!$C$12</f>
        <v>-0.03</v>
      </c>
      <c r="J16" s="142">
        <f>'Inputs &amp; Assumptions'!$C$12</f>
        <v>-0.03</v>
      </c>
      <c r="K16" s="142">
        <f>'Inputs &amp; Assumptions'!$C$12</f>
        <v>-0.03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0" t="s">
        <v>257</v>
      </c>
      <c r="B18" s="138">
        <f>B15*'Inputs &amp; Assumptions'!$C$25</f>
        <v>5000000</v>
      </c>
      <c r="C18" s="138">
        <f>C15*'Inputs &amp; Assumptions'!$C$25</f>
        <v>4000000</v>
      </c>
      <c r="D18" s="138">
        <f>D15*'Inputs &amp; Assumptions'!$C$25</f>
        <v>3200000</v>
      </c>
      <c r="E18" s="138">
        <f>E15*'Inputs &amp; Assumptions'!$C$25</f>
        <v>2720000</v>
      </c>
      <c r="F18" s="138">
        <f>F15*'Inputs &amp; Assumptions'!$C$25</f>
        <v>2584000</v>
      </c>
      <c r="G18" s="138">
        <f>G15*'Inputs &amp; Assumptions'!$C$25</f>
        <v>2506480</v>
      </c>
      <c r="H18" s="138">
        <f>H15*'Inputs &amp; Assumptions'!$C$25</f>
        <v>2431285.6</v>
      </c>
      <c r="I18" s="138">
        <f>I15*'Inputs &amp; Assumptions'!$C$25</f>
        <v>2358347.032</v>
      </c>
      <c r="J18" s="138">
        <f>J15*'Inputs &amp; Assumptions'!$C$25</f>
        <v>2287596.621</v>
      </c>
      <c r="K18" s="138">
        <f>K15*'Inputs &amp; Assumptions'!$C$25</f>
        <v>2218968.722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0" t="s">
        <v>258</v>
      </c>
      <c r="B19" s="138">
        <f>B15*'Inputs &amp; Assumptions'!$C$26</f>
        <v>1250000</v>
      </c>
      <c r="C19" s="138">
        <f>C15*'Inputs &amp; Assumptions'!$C$26</f>
        <v>1000000</v>
      </c>
      <c r="D19" s="138">
        <f>D15*'Inputs &amp; Assumptions'!$C$26</f>
        <v>800000</v>
      </c>
      <c r="E19" s="138">
        <f>E15*'Inputs &amp; Assumptions'!$C$26</f>
        <v>680000</v>
      </c>
      <c r="F19" s="138">
        <f>F15*'Inputs &amp; Assumptions'!$C$26</f>
        <v>646000</v>
      </c>
      <c r="G19" s="138">
        <f>G15*'Inputs &amp; Assumptions'!$C$26</f>
        <v>626620</v>
      </c>
      <c r="H19" s="138">
        <f>H15*'Inputs &amp; Assumptions'!$C$26</f>
        <v>607821.4</v>
      </c>
      <c r="I19" s="138">
        <f>I15*'Inputs &amp; Assumptions'!$C$26</f>
        <v>589586.758</v>
      </c>
      <c r="J19" s="138">
        <f>J15*'Inputs &amp; Assumptions'!$C$26</f>
        <v>571899.1553</v>
      </c>
      <c r="K19" s="138">
        <f>K15*'Inputs &amp; Assumptions'!$C$26</f>
        <v>554742.1806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0" t="s">
        <v>259</v>
      </c>
      <c r="B20" s="138">
        <f>B15*'Inputs &amp; Assumptions'!$C$27</f>
        <v>625000</v>
      </c>
      <c r="C20" s="138">
        <f>C15*'Inputs &amp; Assumptions'!$C$27</f>
        <v>500000</v>
      </c>
      <c r="D20" s="138">
        <f>D15*'Inputs &amp; Assumptions'!$C$27</f>
        <v>400000</v>
      </c>
      <c r="E20" s="138">
        <f>E15*'Inputs &amp; Assumptions'!$C$27</f>
        <v>340000</v>
      </c>
      <c r="F20" s="138">
        <f>F15*'Inputs &amp; Assumptions'!$C$27</f>
        <v>323000</v>
      </c>
      <c r="G20" s="138">
        <f>G15*'Inputs &amp; Assumptions'!$C$27</f>
        <v>313310</v>
      </c>
      <c r="H20" s="138">
        <f>H15*'Inputs &amp; Assumptions'!$C$27</f>
        <v>303910.7</v>
      </c>
      <c r="I20" s="138">
        <f>I15*'Inputs &amp; Assumptions'!$C$27</f>
        <v>294793.379</v>
      </c>
      <c r="J20" s="138">
        <f>J15*'Inputs &amp; Assumptions'!$C$27</f>
        <v>285949.5776</v>
      </c>
      <c r="K20" s="138">
        <f>K15*'Inputs &amp; Assumptions'!$C$27</f>
        <v>277371.0903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0" t="s">
        <v>260</v>
      </c>
      <c r="B21" s="138">
        <f>B15*'Inputs &amp; Assumptions'!$C$28</f>
        <v>625000</v>
      </c>
      <c r="C21" s="138">
        <f>C15*'Inputs &amp; Assumptions'!$C$28</f>
        <v>500000</v>
      </c>
      <c r="D21" s="138">
        <f>D15*'Inputs &amp; Assumptions'!$C$28</f>
        <v>400000</v>
      </c>
      <c r="E21" s="138">
        <f>E15*'Inputs &amp; Assumptions'!$C$28</f>
        <v>340000</v>
      </c>
      <c r="F21" s="138">
        <f>F15*'Inputs &amp; Assumptions'!$C$28</f>
        <v>323000</v>
      </c>
      <c r="G21" s="138">
        <f>G15*'Inputs &amp; Assumptions'!$C$28</f>
        <v>313310</v>
      </c>
      <c r="H21" s="138">
        <f>H15*'Inputs &amp; Assumptions'!$C$28</f>
        <v>303910.7</v>
      </c>
      <c r="I21" s="138">
        <f>I15*'Inputs &amp; Assumptions'!$C$28</f>
        <v>294793.379</v>
      </c>
      <c r="J21" s="138">
        <f>J15*'Inputs &amp; Assumptions'!$C$28</f>
        <v>285949.5776</v>
      </c>
      <c r="K21" s="138">
        <f>K15*'Inputs &amp; Assumptions'!$C$28</f>
        <v>277371.0903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0" t="s">
        <v>261</v>
      </c>
      <c r="B22" s="138">
        <f>B15*'Inputs &amp; Assumptions'!$C$29</f>
        <v>250000</v>
      </c>
      <c r="C22" s="138">
        <f>C15*'Inputs &amp; Assumptions'!$C$29</f>
        <v>200000</v>
      </c>
      <c r="D22" s="138">
        <f>D15*'Inputs &amp; Assumptions'!$C$29</f>
        <v>160000</v>
      </c>
      <c r="E22" s="138">
        <f>E15*'Inputs &amp; Assumptions'!$C$29</f>
        <v>136000</v>
      </c>
      <c r="F22" s="138">
        <f>F15*'Inputs &amp; Assumptions'!$C$29</f>
        <v>129200</v>
      </c>
      <c r="G22" s="138">
        <f>G15*'Inputs &amp; Assumptions'!$C$29</f>
        <v>125324</v>
      </c>
      <c r="H22" s="138">
        <f>H15*'Inputs &amp; Assumptions'!$C$29</f>
        <v>121564.28</v>
      </c>
      <c r="I22" s="138">
        <f>I15*'Inputs &amp; Assumptions'!$C$29</f>
        <v>117917.3516</v>
      </c>
      <c r="J22" s="138">
        <f>J15*'Inputs &amp; Assumptions'!$C$29</f>
        <v>114379.8311</v>
      </c>
      <c r="K22" s="138">
        <f>K15*'Inputs &amp; Assumptions'!$C$29</f>
        <v>110948.4361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43" t="s">
        <v>262</v>
      </c>
      <c r="B23" s="144">
        <f t="shared" ref="B23:K23" si="12">B15-SUM(B18:B22)</f>
        <v>17250000</v>
      </c>
      <c r="C23" s="144">
        <f t="shared" si="12"/>
        <v>13800000</v>
      </c>
      <c r="D23" s="144">
        <f t="shared" si="12"/>
        <v>11040000</v>
      </c>
      <c r="E23" s="144">
        <f t="shared" si="12"/>
        <v>9384000</v>
      </c>
      <c r="F23" s="144">
        <f t="shared" si="12"/>
        <v>8914800</v>
      </c>
      <c r="G23" s="144">
        <f t="shared" si="12"/>
        <v>8647356</v>
      </c>
      <c r="H23" s="144">
        <f t="shared" si="12"/>
        <v>8387935.32</v>
      </c>
      <c r="I23" s="144">
        <f t="shared" si="12"/>
        <v>8136297.26</v>
      </c>
      <c r="J23" s="144">
        <f t="shared" si="12"/>
        <v>7892208.343</v>
      </c>
      <c r="K23" s="144">
        <f t="shared" si="12"/>
        <v>7655442.092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0" t="s">
        <v>263</v>
      </c>
      <c r="B24" s="145">
        <f>1/(1+'Inputs &amp; Assumptions'!$C$5)^1</f>
        <v>0.9259259259</v>
      </c>
      <c r="C24" s="145">
        <f>1/(1+'Inputs &amp; Assumptions'!$C$5)^2</f>
        <v>0.8573388203</v>
      </c>
      <c r="D24" s="145">
        <f>1/(1+'Inputs &amp; Assumptions'!$C$5)^3</f>
        <v>0.793832241</v>
      </c>
      <c r="E24" s="145">
        <f>1/(1+'Inputs &amp; Assumptions'!$C$5)^4</f>
        <v>0.7350298528</v>
      </c>
      <c r="F24" s="145">
        <f>1/(1+'Inputs &amp; Assumptions'!$C$5)^5</f>
        <v>0.680583197</v>
      </c>
      <c r="G24" s="145">
        <f>1/(1+'Inputs &amp; Assumptions'!$C$5)^6</f>
        <v>0.6301696269</v>
      </c>
      <c r="H24" s="145">
        <f>1/(1+'Inputs &amp; Assumptions'!$C$5)^7</f>
        <v>0.5834903953</v>
      </c>
      <c r="I24" s="145">
        <f>1/(1+'Inputs &amp; Assumptions'!$C$5)^8</f>
        <v>0.5402688845</v>
      </c>
      <c r="J24" s="145">
        <f>1/(1+'Inputs &amp; Assumptions'!$C$5)^9</f>
        <v>0.5002489671</v>
      </c>
      <c r="K24" s="145">
        <f>1/(1+'Inputs &amp; Assumptions'!$C$5)^10</f>
        <v>0.4631934881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0" t="s">
        <v>264</v>
      </c>
      <c r="B25" s="138">
        <f t="shared" ref="B25:K25" si="13">B23*B24</f>
        <v>15972222.22</v>
      </c>
      <c r="C25" s="138">
        <f t="shared" si="13"/>
        <v>11831275.72</v>
      </c>
      <c r="D25" s="138">
        <f t="shared" si="13"/>
        <v>8763907.941</v>
      </c>
      <c r="E25" s="138">
        <f t="shared" si="13"/>
        <v>6897520.139</v>
      </c>
      <c r="F25" s="138">
        <f t="shared" si="13"/>
        <v>6067263.085</v>
      </c>
      <c r="G25" s="138">
        <f t="shared" si="13"/>
        <v>5449301.104</v>
      </c>
      <c r="H25" s="138">
        <f t="shared" si="13"/>
        <v>4894279.695</v>
      </c>
      <c r="I25" s="138">
        <f t="shared" si="13"/>
        <v>4395788.245</v>
      </c>
      <c r="J25" s="138">
        <f t="shared" si="13"/>
        <v>3948069.072</v>
      </c>
      <c r="K25" s="138">
        <f t="shared" si="13"/>
        <v>3545950.926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0" t="s">
        <v>265</v>
      </c>
      <c r="B27" s="1"/>
      <c r="C27" s="1"/>
      <c r="D27" s="1"/>
      <c r="E27" s="1"/>
      <c r="F27" s="1"/>
      <c r="G27" s="1"/>
      <c r="H27" s="1"/>
      <c r="I27" s="1"/>
      <c r="J27" s="1"/>
      <c r="K27" s="109">
        <f>K23*(1+'Inputs &amp; Assumptions'!$C$6)/('Inputs &amp; Assumptions'!$C$5-'Inputs &amp; Assumptions'!$C$6)</f>
        <v>130142515.6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0" t="s">
        <v>266</v>
      </c>
      <c r="B28" s="1"/>
      <c r="C28" s="1"/>
      <c r="D28" s="1"/>
      <c r="E28" s="1"/>
      <c r="F28" s="1"/>
      <c r="G28" s="1"/>
      <c r="H28" s="1"/>
      <c r="I28" s="1"/>
      <c r="J28" s="1"/>
      <c r="K28" s="109">
        <f>K27/(1+'Inputs &amp; Assumptions'!$C$5)^10</f>
        <v>60281165.73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46" t="s">
        <v>267</v>
      </c>
      <c r="B30" s="147">
        <f>SUM(B25:K25)</f>
        <v>71765578.15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46" t="s">
        <v>266</v>
      </c>
      <c r="B31" s="147">
        <f>K28</f>
        <v>60281165.73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48" t="s">
        <v>268</v>
      </c>
      <c r="B32" s="149">
        <f>SUM(B30:B31)</f>
        <v>132046743.9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5" t="s">
        <v>40</v>
      </c>
      <c r="B34" s="150"/>
      <c r="C34" s="150"/>
      <c r="D34" s="150"/>
      <c r="E34" s="150"/>
      <c r="F34" s="150"/>
      <c r="G34" s="150"/>
      <c r="H34" s="150"/>
      <c r="I34" s="150"/>
      <c r="J34" s="150"/>
      <c r="K34" s="4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2" t="str">
        <f>"Library value is "&amp;TEXT(B32/1000000,"$0.0")&amp;" million, but terminal value represents "&amp;TEXT(B31/B32,"0%")&amp;" of total NPV and remains sensitive to discount rate and long-tail decay."</f>
        <v>Library value is $132.0 million, but terminal value represents 46% of total NPV and remains sensitive to discount rate and long-tail decay.</v>
      </c>
      <c r="B35" s="151"/>
      <c r="C35" s="151"/>
      <c r="D35" s="151"/>
      <c r="E35" s="151"/>
      <c r="F35" s="151"/>
      <c r="G35" s="151"/>
      <c r="H35" s="151"/>
      <c r="I35" s="151"/>
      <c r="J35" s="151"/>
      <c r="K35" s="5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63"/>
    <col customWidth="1" min="2" max="6" width="13.25"/>
  </cols>
  <sheetData>
    <row r="1">
      <c r="A1" s="3" t="s">
        <v>269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270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271</v>
      </c>
      <c r="B4" s="12" t="s">
        <v>149</v>
      </c>
      <c r="C4" s="12" t="s">
        <v>153</v>
      </c>
      <c r="D4" s="12" t="s">
        <v>157</v>
      </c>
      <c r="E4" s="12" t="s">
        <v>161</v>
      </c>
      <c r="F4" s="12" t="s">
        <v>164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255</v>
      </c>
      <c r="B5" s="109">
        <f>'Library Valuation'!B15</f>
        <v>25000000</v>
      </c>
      <c r="C5" s="109">
        <f>'Library Valuation'!C15</f>
        <v>20000000</v>
      </c>
      <c r="D5" s="109">
        <f>'Library Valuation'!D15</f>
        <v>16000000</v>
      </c>
      <c r="E5" s="109">
        <f>'Library Valuation'!E15</f>
        <v>13600000</v>
      </c>
      <c r="F5" s="109">
        <f>'Library Valuation'!F15</f>
        <v>12920000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257</v>
      </c>
      <c r="B6" s="152">
        <f>B5*'Inputs &amp; Assumptions'!$C$25</f>
        <v>5000000</v>
      </c>
      <c r="C6" s="152">
        <f>C5*'Inputs &amp; Assumptions'!$C$25</f>
        <v>4000000</v>
      </c>
      <c r="D6" s="152">
        <f>D5*'Inputs &amp; Assumptions'!$C$25</f>
        <v>3200000</v>
      </c>
      <c r="E6" s="152">
        <f>E5*'Inputs &amp; Assumptions'!$C$25</f>
        <v>2720000</v>
      </c>
      <c r="F6" s="152">
        <f>F5*'Inputs &amp; Assumptions'!$C$25</f>
        <v>2584000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258</v>
      </c>
      <c r="B7" s="152">
        <f>B5*'Inputs &amp; Assumptions'!$C$26</f>
        <v>1250000</v>
      </c>
      <c r="C7" s="152">
        <f>C5*'Inputs &amp; Assumptions'!$C$26</f>
        <v>1000000</v>
      </c>
      <c r="D7" s="152">
        <f>D5*'Inputs &amp; Assumptions'!$C$26</f>
        <v>800000</v>
      </c>
      <c r="E7" s="152">
        <f>E5*'Inputs &amp; Assumptions'!$C$26</f>
        <v>680000</v>
      </c>
      <c r="F7" s="152">
        <f>F5*'Inputs &amp; Assumptions'!$C$26</f>
        <v>646000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259</v>
      </c>
      <c r="B8" s="152">
        <f>B5*'Inputs &amp; Assumptions'!$C$27</f>
        <v>625000</v>
      </c>
      <c r="C8" s="152">
        <f>C5*'Inputs &amp; Assumptions'!$C$27</f>
        <v>500000</v>
      </c>
      <c r="D8" s="152">
        <f>D5*'Inputs &amp; Assumptions'!$C$27</f>
        <v>400000</v>
      </c>
      <c r="E8" s="152">
        <f>E5*'Inputs &amp; Assumptions'!$C$27</f>
        <v>340000</v>
      </c>
      <c r="F8" s="152">
        <f>F5*'Inputs &amp; Assumptions'!$C$27</f>
        <v>323000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260</v>
      </c>
      <c r="B9" s="152">
        <f>B5*'Inputs &amp; Assumptions'!$C$28</f>
        <v>625000</v>
      </c>
      <c r="C9" s="152">
        <f>C5*'Inputs &amp; Assumptions'!$C$28</f>
        <v>500000</v>
      </c>
      <c r="D9" s="152">
        <f>D5*'Inputs &amp; Assumptions'!$C$28</f>
        <v>400000</v>
      </c>
      <c r="E9" s="152">
        <f>E5*'Inputs &amp; Assumptions'!$C$28</f>
        <v>340000</v>
      </c>
      <c r="F9" s="152">
        <f>F5*'Inputs &amp; Assumptions'!$C$28</f>
        <v>323000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0" t="s">
        <v>261</v>
      </c>
      <c r="B10" s="152">
        <f>B5*'Inputs &amp; Assumptions'!$C$29</f>
        <v>250000</v>
      </c>
      <c r="C10" s="152">
        <f>C5*'Inputs &amp; Assumptions'!$C$29</f>
        <v>200000</v>
      </c>
      <c r="D10" s="152">
        <f>D5*'Inputs &amp; Assumptions'!$C$29</f>
        <v>160000</v>
      </c>
      <c r="E10" s="152">
        <f>E5*'Inputs &amp; Assumptions'!$C$29</f>
        <v>136000</v>
      </c>
      <c r="F10" s="152">
        <f>F5*'Inputs &amp; Assumptions'!$C$29</f>
        <v>129200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9" t="s">
        <v>272</v>
      </c>
      <c r="B11" s="140">
        <f t="shared" ref="B11:F11" si="1">B5-SUM(B6:B10)</f>
        <v>17250000</v>
      </c>
      <c r="C11" s="140">
        <f t="shared" si="1"/>
        <v>13800000</v>
      </c>
      <c r="D11" s="140">
        <f t="shared" si="1"/>
        <v>11040000</v>
      </c>
      <c r="E11" s="140">
        <f t="shared" si="1"/>
        <v>9384000</v>
      </c>
      <c r="F11" s="140">
        <f t="shared" si="1"/>
        <v>8914800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0" t="s">
        <v>273</v>
      </c>
      <c r="B12" s="109">
        <f>'Debt Service'!B9</f>
        <v>13173750</v>
      </c>
      <c r="C12" s="109">
        <f>'Debt Service'!C9</f>
        <v>11166312.94</v>
      </c>
      <c r="D12" s="109">
        <f>'Debt Service'!D9</f>
        <v>9576941.688</v>
      </c>
      <c r="E12" s="109">
        <f>'Debt Service'!E9</f>
        <v>8598862.784</v>
      </c>
      <c r="F12" s="109">
        <f>'Debt Service'!F9</f>
        <v>66124108.58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3" t="s">
        <v>274</v>
      </c>
      <c r="B13" s="154">
        <f t="shared" ref="B13:F13" si="2">B11-B12</f>
        <v>4076250</v>
      </c>
      <c r="C13" s="154">
        <f t="shared" si="2"/>
        <v>2633687.063</v>
      </c>
      <c r="D13" s="154">
        <f t="shared" si="2"/>
        <v>1463058.312</v>
      </c>
      <c r="E13" s="154">
        <f t="shared" si="2"/>
        <v>785137.2157</v>
      </c>
      <c r="F13" s="154">
        <f t="shared" si="2"/>
        <v>-57209308.58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07" t="s">
        <v>275</v>
      </c>
      <c r="B16" s="10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0" t="s">
        <v>255</v>
      </c>
      <c r="B17" s="109">
        <f>B5</f>
        <v>25000000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0" t="s">
        <v>166</v>
      </c>
      <c r="B18" s="109">
        <f t="shared" ref="B18:B22" si="3">-B6</f>
        <v>-5000000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0" t="s">
        <v>276</v>
      </c>
      <c r="B19" s="109">
        <f t="shared" si="3"/>
        <v>-1250000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0" t="s">
        <v>170</v>
      </c>
      <c r="B20" s="109">
        <f t="shared" si="3"/>
        <v>-625000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0" t="s">
        <v>172</v>
      </c>
      <c r="B21" s="109">
        <f t="shared" si="3"/>
        <v>-625000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0" t="s">
        <v>277</v>
      </c>
      <c r="B22" s="109">
        <f t="shared" si="3"/>
        <v>-250000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0" t="s">
        <v>272</v>
      </c>
      <c r="B23" s="109">
        <f>B11</f>
        <v>17250000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5" t="s">
        <v>40</v>
      </c>
      <c r="B25" s="150"/>
      <c r="C25" s="150"/>
      <c r="D25" s="150"/>
      <c r="E25" s="150"/>
      <c r="F25" s="4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2" t="str">
        <f>"Available cash flow declines from "&amp;TEXT(B11/1000000,"$0.0")&amp;" million to "&amp;TEXT(F11/1000000,"$0.0")&amp;" million, reducing debt-service flexibility as the library seasons."</f>
        <v>Available cash flow declines from $17.3 million to $8.9 million, reducing debt-service flexibility as the library seasons.</v>
      </c>
      <c r="B26" s="151"/>
      <c r="C26" s="151"/>
      <c r="D26" s="151"/>
      <c r="E26" s="151"/>
      <c r="F26" s="5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0"/>
    <col customWidth="1" min="2" max="5" width="12.0"/>
    <col customWidth="1" min="6" max="6" width="30.0"/>
    <col customWidth="1" min="7" max="7" width="28.88"/>
    <col customWidth="1" min="8" max="8" width="33.75"/>
  </cols>
  <sheetData>
    <row r="1">
      <c r="A1" s="3" t="s">
        <v>39</v>
      </c>
      <c r="B1" s="5"/>
      <c r="C1" s="5"/>
      <c r="D1" s="5"/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278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201</v>
      </c>
      <c r="B4" s="12" t="s">
        <v>279</v>
      </c>
      <c r="C4" s="12" t="s">
        <v>211</v>
      </c>
      <c r="D4" s="12" t="s">
        <v>212</v>
      </c>
      <c r="E4" s="12" t="s">
        <v>280</v>
      </c>
      <c r="F4" s="12" t="s">
        <v>39</v>
      </c>
      <c r="G4" s="12" t="s">
        <v>281</v>
      </c>
      <c r="H4" s="12" t="s">
        <v>282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147</v>
      </c>
      <c r="B5" s="138">
        <f>'Inputs &amp; Assumptions'!C41</f>
        <v>132046743.9</v>
      </c>
      <c r="C5" s="128">
        <f>'Inputs &amp; Assumptions'!C48</f>
        <v>0.5</v>
      </c>
      <c r="D5" s="128">
        <f>'Inputs &amp; Assumptions'!C55</f>
        <v>0.1</v>
      </c>
      <c r="E5" s="138">
        <f t="shared" ref="E5:E10" si="1">B5*(1-D5)</f>
        <v>118842069.5</v>
      </c>
      <c r="F5" s="138">
        <f t="shared" ref="F5:F10" si="2">E5*C5</f>
        <v>59421034.75</v>
      </c>
      <c r="G5" s="138">
        <f>MAX(0,F5-'Inputs &amp; Assumptions'!$C$36)</f>
        <v>0</v>
      </c>
      <c r="H5" s="155">
        <f>E5/'Inputs &amp; Assumptions'!$C$36</f>
        <v>1.584560927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151</v>
      </c>
      <c r="B6" s="138">
        <f>'Inputs &amp; Assumptions'!C42</f>
        <v>18500000</v>
      </c>
      <c r="C6" s="128">
        <f>'Inputs &amp; Assumptions'!C49</f>
        <v>0.85</v>
      </c>
      <c r="D6" s="128">
        <f>'Inputs &amp; Assumptions'!C56</f>
        <v>0.05</v>
      </c>
      <c r="E6" s="138">
        <f t="shared" si="1"/>
        <v>17575000</v>
      </c>
      <c r="F6" s="138">
        <f t="shared" si="2"/>
        <v>14938750</v>
      </c>
      <c r="G6" s="138">
        <f>MAX(0,F6-MAX(0,'Inputs &amp; Assumptions'!$C$36-F5))</f>
        <v>0</v>
      </c>
      <c r="H6" s="155">
        <f>E6/'Inputs &amp; Assumptions'!$C$36</f>
        <v>0.2343333333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156</v>
      </c>
      <c r="B7" s="138">
        <f>'Inputs &amp; Assumptions'!C43</f>
        <v>12000000</v>
      </c>
      <c r="C7" s="128">
        <f>'Inputs &amp; Assumptions'!C50</f>
        <v>0.7</v>
      </c>
      <c r="D7" s="128">
        <f>'Inputs &amp; Assumptions'!C57</f>
        <v>0.1</v>
      </c>
      <c r="E7" s="138">
        <f t="shared" si="1"/>
        <v>10800000</v>
      </c>
      <c r="F7" s="138">
        <f t="shared" si="2"/>
        <v>7560000</v>
      </c>
      <c r="G7" s="138">
        <f>MAX(0,F7-MAX(0,'Inputs &amp; Assumptions'!$C$36-SUM(F5:F6)))</f>
        <v>6919784.747</v>
      </c>
      <c r="H7" s="155">
        <f>E7/'Inputs &amp; Assumptions'!$C$36</f>
        <v>0.144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159</v>
      </c>
      <c r="B8" s="138">
        <f>'Inputs &amp; Assumptions'!C44</f>
        <v>8000000</v>
      </c>
      <c r="C8" s="128">
        <f>'Inputs &amp; Assumptions'!C51</f>
        <v>0.75</v>
      </c>
      <c r="D8" s="128">
        <f>'Inputs &amp; Assumptions'!C58</f>
        <v>0.15</v>
      </c>
      <c r="E8" s="138">
        <f t="shared" si="1"/>
        <v>6800000</v>
      </c>
      <c r="F8" s="138">
        <f t="shared" si="2"/>
        <v>5100000</v>
      </c>
      <c r="G8" s="138">
        <f>MAX(0,F8-MAX(0,'Inputs &amp; Assumptions'!$C$36-SUM(F5:F7)))</f>
        <v>5100000</v>
      </c>
      <c r="H8" s="155">
        <f>E8/'Inputs &amp; Assumptions'!$C$36</f>
        <v>0.09066666667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163</v>
      </c>
      <c r="B9" s="138">
        <f>'Inputs &amp; Assumptions'!C45</f>
        <v>5000000</v>
      </c>
      <c r="C9" s="128">
        <f>'Inputs &amp; Assumptions'!C52</f>
        <v>1</v>
      </c>
      <c r="D9" s="128">
        <f>'Inputs &amp; Assumptions'!C59</f>
        <v>0</v>
      </c>
      <c r="E9" s="138">
        <f t="shared" si="1"/>
        <v>5000000</v>
      </c>
      <c r="F9" s="138">
        <f t="shared" si="2"/>
        <v>5000000</v>
      </c>
      <c r="G9" s="138">
        <f>MAX(0,F9-MAX(0,'Inputs &amp; Assumptions'!$C$36-SUM(F5:F8)))</f>
        <v>5000000</v>
      </c>
      <c r="H9" s="155">
        <f>E9/'Inputs &amp; Assumptions'!$C$36</f>
        <v>0.06666666667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0" t="s">
        <v>167</v>
      </c>
      <c r="B10" s="138">
        <f>'Inputs &amp; Assumptions'!C46</f>
        <v>3000000</v>
      </c>
      <c r="C10" s="128">
        <f>'Inputs &amp; Assumptions'!C53</f>
        <v>0.25</v>
      </c>
      <c r="D10" s="128">
        <f>'Inputs &amp; Assumptions'!C60</f>
        <v>0.25</v>
      </c>
      <c r="E10" s="138">
        <f t="shared" si="1"/>
        <v>2250000</v>
      </c>
      <c r="F10" s="138">
        <f t="shared" si="2"/>
        <v>562500</v>
      </c>
      <c r="G10" s="138">
        <f>MAX(0,F10-MAX(0,'Inputs &amp; Assumptions'!$C$36-SUM(F5:F9)))</f>
        <v>562500</v>
      </c>
      <c r="H10" s="155">
        <f>E10/'Inputs &amp; Assumptions'!$C$36</f>
        <v>0.03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6" t="s">
        <v>283</v>
      </c>
      <c r="B11" s="157">
        <f>SUM(B5:B10)</f>
        <v>178546743.9</v>
      </c>
      <c r="C11" s="158"/>
      <c r="D11" s="158"/>
      <c r="E11" s="157">
        <f t="shared" ref="E11:F11" si="3">SUM(E5:E10)</f>
        <v>161267069.5</v>
      </c>
      <c r="F11" s="157">
        <f t="shared" si="3"/>
        <v>92582284.75</v>
      </c>
      <c r="G11" s="157">
        <f>MAX(0,F11-'Inputs &amp; Assumptions'!$C$36)</f>
        <v>17582284.75</v>
      </c>
      <c r="H11" s="159">
        <f>E11/'Inputs &amp; Assumptions'!$C$36</f>
        <v>2.150227593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3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0" t="s">
        <v>30</v>
      </c>
      <c r="B14" s="161">
        <f>'Inputs &amp; Assumptions'!C36</f>
        <v>75000000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2" t="s">
        <v>62</v>
      </c>
      <c r="B15" s="163">
        <f>B14/F11</f>
        <v>0.8100901831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2" t="s">
        <v>282</v>
      </c>
      <c r="B16" s="164">
        <f>E11/B14</f>
        <v>2.150227593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5" t="s">
        <v>54</v>
      </c>
      <c r="B17" s="166">
        <f>B14/B11</f>
        <v>0.4200580664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6" t="s">
        <v>40</v>
      </c>
      <c r="B19" s="121"/>
      <c r="C19" s="121"/>
      <c r="D19" s="121"/>
      <c r="E19" s="121"/>
      <c r="F19" s="121"/>
      <c r="G19" s="121"/>
      <c r="H19" s="12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2" t="str">
        <f>"The "&amp;TEXT(F11/1000000,"$0.0")&amp;" million borrowing base covers the facility by "&amp;TEXT(F11/B14,"0.00x")&amp;"; this is distinct from "&amp;TEXT(E11/B14,"0.00x")&amp;" gross eligible collateral coverage."</f>
        <v>The $92.6 million borrowing base covers the facility by 1.23x; this is distinct from 2.15x gross eligible collateral coverage.</v>
      </c>
      <c r="B20" s="124"/>
      <c r="C20" s="124"/>
      <c r="D20" s="124"/>
      <c r="E20" s="124"/>
      <c r="F20" s="124"/>
      <c r="G20" s="124"/>
      <c r="H20" s="12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8.0"/>
    <col customWidth="1" min="2" max="3" width="18.25"/>
  </cols>
  <sheetData>
    <row r="1">
      <c r="A1" s="3" t="s">
        <v>284</v>
      </c>
      <c r="B1" s="5"/>
      <c r="C1" s="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285</v>
      </c>
      <c r="B2" s="11"/>
      <c r="C2" s="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286</v>
      </c>
      <c r="B4" s="12" t="s">
        <v>80</v>
      </c>
      <c r="C4" s="12" t="s">
        <v>287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30</v>
      </c>
      <c r="B5" s="109">
        <f>'Inputs &amp; Assumptions'!C36</f>
        <v>75000000</v>
      </c>
      <c r="C5" s="30" t="s">
        <v>114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180</v>
      </c>
      <c r="B6" s="167">
        <f>'Inputs &amp; Assumptions'!C31</f>
        <v>0.0363</v>
      </c>
      <c r="C6" s="30" t="s">
        <v>288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185</v>
      </c>
      <c r="B7" s="167">
        <f>'Inputs &amp; Assumptions'!C32</f>
        <v>0.065</v>
      </c>
      <c r="C7" s="30" t="s">
        <v>289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290</v>
      </c>
      <c r="B8" s="167">
        <f>B6+B7</f>
        <v>0.1013</v>
      </c>
      <c r="C8" s="30" t="s">
        <v>291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188</v>
      </c>
      <c r="B9" s="167">
        <f>'Inputs &amp; Assumptions'!C33</f>
        <v>0.02</v>
      </c>
      <c r="C9" s="30" t="s">
        <v>189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0" t="s">
        <v>190</v>
      </c>
      <c r="B10" s="167">
        <f>'Inputs &amp; Assumptions'!C34</f>
        <v>0.015</v>
      </c>
      <c r="C10" s="30" t="s">
        <v>292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0" t="s">
        <v>192</v>
      </c>
      <c r="B11" s="167">
        <f>'Inputs &amp; Assumptions'!C35</f>
        <v>0.01</v>
      </c>
      <c r="C11" s="30" t="s">
        <v>193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0" t="s">
        <v>293</v>
      </c>
      <c r="B12" s="167">
        <f>'Inputs &amp; Assumptions'!C38</f>
        <v>0.02</v>
      </c>
      <c r="C12" s="30" t="s">
        <v>294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0" t="s">
        <v>295</v>
      </c>
      <c r="B13" s="128">
        <f>1-B12*'Inputs &amp; Assumptions'!C37</f>
        <v>0.9</v>
      </c>
      <c r="C13" s="30" t="s">
        <v>296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0" t="s">
        <v>199</v>
      </c>
      <c r="B14" s="167">
        <f>'Inputs &amp; Assumptions'!C39</f>
        <v>0.5</v>
      </c>
      <c r="C14" s="30" t="s">
        <v>297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 t="s">
        <v>298</v>
      </c>
      <c r="B15" s="30" t="s">
        <v>299</v>
      </c>
      <c r="C15" s="30" t="s">
        <v>92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0" t="s">
        <v>25</v>
      </c>
      <c r="B16" s="168">
        <f>'Inputs &amp; Assumptions'!C37</f>
        <v>5</v>
      </c>
      <c r="C16" s="30" t="s">
        <v>195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0" t="s">
        <v>300</v>
      </c>
      <c r="B17" s="169">
        <f>DATE(2026+'Inputs &amp; Assumptions'!C37,12,31)</f>
        <v>48213</v>
      </c>
      <c r="C17" s="30" t="s">
        <v>301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70" t="s">
        <v>302</v>
      </c>
      <c r="B20" s="171">
        <f>B8+B10/'Inputs &amp; Assumptions'!C37+B11/'Inputs &amp; Assumptions'!C37+B9/'Inputs &amp; Assumptions'!C37</f>
        <v>0.1103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72" t="s">
        <v>303</v>
      </c>
      <c r="B21" s="173">
        <f>'Inputs &amp; Assumptions'!C63*'Inputs &amp; Assumptions'!C64</f>
        <v>0.028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72" t="s">
        <v>60</v>
      </c>
      <c r="B22" s="173">
        <f>B20-B21</f>
        <v>0.0823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6" t="s">
        <v>40</v>
      </c>
      <c r="B24" s="121"/>
      <c r="C24" s="12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2" t="str">
        <f>"Expected net yield is "&amp;TEXT(B22,"0.0%")&amp;" after modeled credit loss, with a material maturity bullet that requires active deleveraging and takeout planning."</f>
        <v>Expected net yield is 8.2% after modeled credit loss, with a material maturity bullet that requires active deleveraging and takeout planning.</v>
      </c>
      <c r="B25" s="124"/>
      <c r="C25" s="12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75"/>
    <col customWidth="1" min="2" max="6" width="13.25"/>
  </cols>
  <sheetData>
    <row r="1">
      <c r="A1" s="3" t="s">
        <v>304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305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115</v>
      </c>
      <c r="B4" s="12" t="s">
        <v>149</v>
      </c>
      <c r="C4" s="12" t="s">
        <v>153</v>
      </c>
      <c r="D4" s="12" t="s">
        <v>157</v>
      </c>
      <c r="E4" s="12" t="s">
        <v>161</v>
      </c>
      <c r="F4" s="12" t="s">
        <v>164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306</v>
      </c>
      <c r="B5" s="138">
        <f>'Inputs &amp; Assumptions'!C36</f>
        <v>75000000</v>
      </c>
      <c r="C5" s="138">
        <f t="shared" ref="C5:F5" si="1">B10</f>
        <v>69423750</v>
      </c>
      <c r="D5" s="138">
        <f t="shared" si="1"/>
        <v>65290062.94</v>
      </c>
      <c r="E5" s="138">
        <f t="shared" si="1"/>
        <v>62327004.63</v>
      </c>
      <c r="F5" s="138">
        <f t="shared" si="1"/>
        <v>60041867.41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307</v>
      </c>
      <c r="B6" s="138">
        <f>B5*'Debt Structure'!B8</f>
        <v>7597500</v>
      </c>
      <c r="C6" s="138">
        <f>C5*'Debt Structure'!B8</f>
        <v>7032625.875</v>
      </c>
      <c r="D6" s="138">
        <f>D5*'Debt Structure'!$B$8</f>
        <v>6613883.376</v>
      </c>
      <c r="E6" s="138">
        <f>E5*'Debt Structure'!$B$8</f>
        <v>6313725.569</v>
      </c>
      <c r="F6" s="138">
        <f>F5*'Debt Structure'!$B$8</f>
        <v>6082241.169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197</v>
      </c>
      <c r="B7" s="138">
        <f>MIN(B5,'Inputs &amp; Assumptions'!$C$36*'Inputs &amp; Assumptions'!$C$38)</f>
        <v>1500000</v>
      </c>
      <c r="C7" s="138">
        <f>MIN(C5,'Inputs &amp; Assumptions'!$C$36*'Inputs &amp; Assumptions'!$C$38)</f>
        <v>1500000</v>
      </c>
      <c r="D7" s="138">
        <f>MIN(D5,'Inputs &amp; Assumptions'!$C$36*'Inputs &amp; Assumptions'!$C$38)</f>
        <v>1500000</v>
      </c>
      <c r="E7" s="138">
        <f>MIN(E5,'Inputs &amp; Assumptions'!$C$36*'Inputs &amp; Assumptions'!$C$38)</f>
        <v>1500000</v>
      </c>
      <c r="F7" s="138">
        <f>MIN(F5,'Inputs &amp; Assumptions'!$C$36*'Inputs &amp; Assumptions'!$C$38)</f>
        <v>1500000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199</v>
      </c>
      <c r="B8" s="138">
        <f>MIN(MAX(0,'Revenue Waterfall'!B11-B6-B7)*'Inputs &amp; Assumptions'!$C$39,B5-B7)</f>
        <v>4076250</v>
      </c>
      <c r="C8" s="138">
        <f>MIN(MAX(0,'Revenue Waterfall'!C11-C6-C7)*'Inputs &amp; Assumptions'!$C$39,C5-C7)</f>
        <v>2633687.063</v>
      </c>
      <c r="D8" s="138">
        <f>MIN(MAX(0,'Revenue Waterfall'!D11-D6-D7)*'Inputs &amp; Assumptions'!$C$39,D5-D7)</f>
        <v>1463058.312</v>
      </c>
      <c r="E8" s="138">
        <f>MIN(MAX(0,'Revenue Waterfall'!E11-E6-E7)*'Inputs &amp; Assumptions'!$C$39,E5-E7)</f>
        <v>785137.2157</v>
      </c>
      <c r="F8" s="138">
        <f>MAX(0,F5-F7)</f>
        <v>58541867.41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308</v>
      </c>
      <c r="B9" s="138">
        <f t="shared" ref="B9:F9" si="2">SUM(B6:B8)</f>
        <v>13173750</v>
      </c>
      <c r="C9" s="138">
        <f t="shared" si="2"/>
        <v>11166312.94</v>
      </c>
      <c r="D9" s="138">
        <f t="shared" si="2"/>
        <v>9576941.688</v>
      </c>
      <c r="E9" s="138">
        <f t="shared" si="2"/>
        <v>8598862.784</v>
      </c>
      <c r="F9" s="138">
        <f t="shared" si="2"/>
        <v>66124108.58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9" t="s">
        <v>309</v>
      </c>
      <c r="B10" s="140">
        <f t="shared" ref="B10:E10" si="3">B5-B7-B8</f>
        <v>69423750</v>
      </c>
      <c r="C10" s="140">
        <f t="shared" si="3"/>
        <v>65290062.94</v>
      </c>
      <c r="D10" s="140">
        <f t="shared" si="3"/>
        <v>62327004.63</v>
      </c>
      <c r="E10" s="140">
        <f t="shared" si="3"/>
        <v>60041867.41</v>
      </c>
      <c r="F10" s="140">
        <f>0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74" t="s">
        <v>44</v>
      </c>
      <c r="B11" s="175">
        <f>'Revenue Waterfall'!B11/B6</f>
        <v>2.270483712</v>
      </c>
      <c r="C11" s="175">
        <f>'Revenue Waterfall'!C11/C6</f>
        <v>1.962282687</v>
      </c>
      <c r="D11" s="175">
        <f>'Revenue Waterfall'!D11/D6</f>
        <v>1.669216007</v>
      </c>
      <c r="E11" s="175">
        <f>'Revenue Waterfall'!E11/E6</f>
        <v>1.486285696</v>
      </c>
      <c r="F11" s="175">
        <f>'Revenue Waterfall'!F11/F6</f>
        <v>1.46570972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76" t="s">
        <v>36</v>
      </c>
      <c r="B12" s="83">
        <f>'Revenue Waterfall'!B11/(B6+B7)</f>
        <v>1.896125309</v>
      </c>
      <c r="C12" s="83">
        <f>'Revenue Waterfall'!C11/(C6+C7)</f>
        <v>1.617321584</v>
      </c>
      <c r="D12" s="83">
        <f>'Revenue Waterfall'!D11/(D6+D7)</f>
        <v>1.360630846</v>
      </c>
      <c r="E12" s="83">
        <f>'Revenue Waterfall'!E11/(E6+E7)</f>
        <v>1.200963602</v>
      </c>
      <c r="F12" s="177">
        <f>'Revenue Waterfall'!F11/F9</f>
        <v>0.1348192088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0" t="s">
        <v>274</v>
      </c>
      <c r="B13" s="109">
        <f>'Revenue Waterfall'!B11-B9</f>
        <v>4076250</v>
      </c>
      <c r="C13" s="109">
        <f>'Revenue Waterfall'!C11-C9</f>
        <v>2633687.063</v>
      </c>
      <c r="D13" s="109">
        <f>'Revenue Waterfall'!D11-D9</f>
        <v>1463058.312</v>
      </c>
      <c r="E13" s="109">
        <f>'Revenue Waterfall'!E11-E9</f>
        <v>785137.2157</v>
      </c>
      <c r="F13" s="178">
        <f>'Revenue Waterfall'!F11-F9</f>
        <v>-57209308.58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5" t="s">
        <v>40</v>
      </c>
      <c r="B15" s="121"/>
      <c r="C15" s="121"/>
      <c r="D15" s="121"/>
      <c r="E15" s="121"/>
      <c r="F15" s="12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2" t="str">
        <f>"Minimum pre-maturity DSCR is "&amp;TEXT(MIN(B12:E12),"0.00x")&amp;" and maturity cash coverage fails by "&amp;TEXT(ABS(F13)/1000000,"$0.0")&amp;" million, making refinancing risk the binding credit issue."</f>
        <v>Minimum pre-maturity DSCR is 1.20x and maturity cash coverage fails by $57.2 million, making refinancing risk the binding credit issue.</v>
      </c>
      <c r="B16" s="124"/>
      <c r="C16" s="124"/>
      <c r="D16" s="124"/>
      <c r="E16" s="124"/>
      <c r="F16" s="12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9.0"/>
    <col customWidth="1" min="2" max="2" width="21.75"/>
    <col customWidth="1" min="3" max="3" width="24.13"/>
    <col customWidth="1" min="4" max="4" width="22.13"/>
    <col customWidth="1" min="5" max="5" width="13.88"/>
  </cols>
  <sheetData>
    <row r="1">
      <c r="A1" s="3" t="s">
        <v>310</v>
      </c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311</v>
      </c>
      <c r="B2" s="11"/>
      <c r="C2" s="11"/>
      <c r="D2" s="11"/>
      <c r="E2" s="1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9" t="s">
        <v>312</v>
      </c>
      <c r="B4" s="180"/>
      <c r="C4" s="180"/>
      <c r="D4" s="180"/>
      <c r="E4" s="18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89</v>
      </c>
      <c r="B5" s="181">
        <v>0.06</v>
      </c>
      <c r="C5" s="181">
        <v>0.08</v>
      </c>
      <c r="D5" s="181">
        <v>0.1</v>
      </c>
      <c r="E5" s="181">
        <v>0.12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72</v>
      </c>
      <c r="B6" s="36">
        <f t="array" ref="B6">NPV(B5,'Library Valuation'!B23:K23)+'Library Valuation'!K23*(1+'Inputs &amp; Assumptions'!C6)/(B5-'Inputs &amp; Assumptions'!C6)/(1+B5)^10</f>
        <v>186651407.4</v>
      </c>
      <c r="C6" s="36">
        <f t="array" ref="C6">NPV(C5,'Library Valuation'!B23:K23)+'Library Valuation'!K23*(1+'Inputs &amp; Assumptions'!C6)/(C5-'Inputs &amp; Assumptions'!C6)/(1+C5)^10</f>
        <v>132046743.9</v>
      </c>
      <c r="D6" s="36">
        <f t="array" ref="D6">NPV(D5,'Library Valuation'!B23:K23)+'Library Valuation'!K23*(1+'Inputs &amp; Assumptions'!C6)/(D5-'Inputs &amp; Assumptions'!C6)/(1+D5)^10</f>
        <v>104237518</v>
      </c>
      <c r="E6" s="36">
        <f t="array" ref="E6">NPV(E5,'Library Valuation'!B23:K23)+'Library Valuation'!K23*(1+'Inputs &amp; Assumptions'!C6)/(E5-'Inputs &amp; Assumptions'!C6)/(1+E5)^10</f>
        <v>87197024.46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0" t="s">
        <v>313</v>
      </c>
      <c r="B8" s="182"/>
      <c r="C8" s="182"/>
      <c r="D8" s="182"/>
      <c r="E8" s="18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314</v>
      </c>
      <c r="B9" s="183">
        <v>1.0</v>
      </c>
      <c r="C9" s="183">
        <v>0.9</v>
      </c>
      <c r="D9" s="183">
        <v>0.8</v>
      </c>
      <c r="E9" s="183">
        <v>0.7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0" t="s">
        <v>39</v>
      </c>
      <c r="B10" s="36">
        <f>'Borrowing Base'!F11</f>
        <v>92582284.75</v>
      </c>
      <c r="C10" s="36">
        <f>'Borrowing Base'!F11*C9</f>
        <v>83324056.27</v>
      </c>
      <c r="D10" s="36">
        <f>'Borrowing Base'!F11*D9</f>
        <v>74065827.8</v>
      </c>
      <c r="E10" s="36">
        <f>'Borrowing Base'!F11*E9</f>
        <v>64807599.32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0" t="s">
        <v>129</v>
      </c>
      <c r="B11" s="57">
        <f>B10/'Inputs &amp; Assumptions'!C36</f>
        <v>1.234430463</v>
      </c>
      <c r="C11" s="57">
        <f>C10/'Inputs &amp; Assumptions'!C36</f>
        <v>1.110987417</v>
      </c>
      <c r="D11" s="57">
        <f>D10/'Inputs &amp; Assumptions'!C36</f>
        <v>0.9875443706</v>
      </c>
      <c r="E11" s="57">
        <f>E10/'Inputs &amp; Assumptions'!C36</f>
        <v>0.8641013243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0" t="s">
        <v>315</v>
      </c>
      <c r="B13" s="182"/>
      <c r="C13" s="182"/>
      <c r="D13" s="182"/>
      <c r="E13" s="18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0" t="s">
        <v>316</v>
      </c>
      <c r="B14" s="181">
        <v>0.0</v>
      </c>
      <c r="C14" s="181">
        <v>0.01</v>
      </c>
      <c r="D14" s="181">
        <v>0.02</v>
      </c>
      <c r="E14" s="181">
        <v>0.03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 t="s">
        <v>36</v>
      </c>
      <c r="B15" s="57">
        <f>'Revenue Waterfall'!B11/('Debt Service'!B7+'Debt Service'!B5*('Debt Structure'!B8+B14))</f>
        <v>1.896125309</v>
      </c>
      <c r="C15" s="57">
        <f>'Revenue Waterfall'!B11/('Debt Service'!B7+'Debt Service'!B5*('Debt Structure'!B8+C14))</f>
        <v>1.751713633</v>
      </c>
      <c r="D15" s="57">
        <f>'Revenue Waterfall'!B11/('Debt Service'!B7+'Debt Service'!B5*('Debt Structure'!B8+D14))</f>
        <v>1.627742392</v>
      </c>
      <c r="E15" s="57">
        <f>'Revenue Waterfall'!B11/('Debt Service'!B7+'Debt Service'!B5*('Debt Structure'!B8+E14))</f>
        <v>1.520158625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0" t="s">
        <v>317</v>
      </c>
      <c r="B17" s="182"/>
      <c r="C17" s="182"/>
      <c r="D17" s="182"/>
      <c r="E17" s="18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0" t="s">
        <v>318</v>
      </c>
      <c r="B18" s="181">
        <v>0.4</v>
      </c>
      <c r="C18" s="181">
        <v>0.5</v>
      </c>
      <c r="D18" s="181">
        <v>0.6</v>
      </c>
      <c r="E18" s="181">
        <v>0.7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0" t="s">
        <v>39</v>
      </c>
      <c r="B19" s="36">
        <f>'Borrowing Base'!E5*B18+SUM('Borrowing Base'!F6:F10)</f>
        <v>80698077.8</v>
      </c>
      <c r="C19" s="36">
        <f>'Borrowing Base'!E5*C18+SUM('Borrowing Base'!F6:F10)</f>
        <v>92582284.75</v>
      </c>
      <c r="D19" s="36">
        <f>'Borrowing Base'!E5*D18+SUM('Borrowing Base'!F6:F10)</f>
        <v>104466491.7</v>
      </c>
      <c r="E19" s="36">
        <f>'Borrowing Base'!E5*E18+SUM('Borrowing Base'!F6:F10)</f>
        <v>116350698.6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0" t="s">
        <v>319</v>
      </c>
      <c r="B20" s="184">
        <f>'Inputs &amp; Assumptions'!C36/B19</f>
        <v>0.929390167</v>
      </c>
      <c r="C20" s="184">
        <f>'Inputs &amp; Assumptions'!C36/C19</f>
        <v>0.8100901831</v>
      </c>
      <c r="D20" s="184">
        <f>'Inputs &amp; Assumptions'!C36/D19</f>
        <v>0.7179335573</v>
      </c>
      <c r="E20" s="184">
        <f>'Inputs &amp; Assumptions'!C36/E19</f>
        <v>0.6446029192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5" t="s">
        <v>40</v>
      </c>
      <c r="B22" s="150"/>
      <c r="C22" s="150"/>
      <c r="D22" s="150"/>
      <c r="E22" s="4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2" t="str">
        <f>"Coverage falls below 1.00x at an approximately 20% borrowing-base reduction, while rate stress remains manageable in Year 1; collateral deterioration is the more binding risk."</f>
        <v>Coverage falls below 1.00x at an approximately 20% borrowing-base reduction, while rate stress remains manageable in Year 1; collateral deterioration is the more binding risk.</v>
      </c>
      <c r="B23" s="151"/>
      <c r="C23" s="151"/>
      <c r="D23" s="151"/>
      <c r="E23" s="5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1" horizontalCentered="1"/>
  <pageMargins bottom="0.75" footer="0.0" header="0.0" left="0.7" right="0.7" top="0.75"/>
  <pageSetup fitToHeight="0" paperSize="6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3.63"/>
    <col customWidth="1" min="2" max="2" width="21.38"/>
    <col customWidth="1" min="3" max="3" width="20.38"/>
    <col customWidth="1" min="4" max="4" width="24.13"/>
  </cols>
  <sheetData>
    <row r="1">
      <c r="A1" s="3" t="s">
        <v>320</v>
      </c>
      <c r="B1" s="8"/>
      <c r="C1" s="8"/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321</v>
      </c>
      <c r="B2" s="11"/>
      <c r="C2" s="11"/>
      <c r="D2" s="1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322</v>
      </c>
      <c r="B4" s="12" t="s">
        <v>323</v>
      </c>
      <c r="C4" s="12" t="s">
        <v>324</v>
      </c>
      <c r="D4" s="12" t="s">
        <v>325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314</v>
      </c>
      <c r="B5" s="183">
        <v>1.0</v>
      </c>
      <c r="C5" s="183">
        <v>0.85</v>
      </c>
      <c r="D5" s="183">
        <v>0.7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326</v>
      </c>
      <c r="B6" s="183">
        <v>1.0</v>
      </c>
      <c r="C6" s="183">
        <v>0.9</v>
      </c>
      <c r="D6" s="183">
        <v>0.75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327</v>
      </c>
      <c r="B7" s="183">
        <v>1.0</v>
      </c>
      <c r="C7" s="183">
        <v>0.85</v>
      </c>
      <c r="D7" s="183">
        <v>0.65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166</v>
      </c>
      <c r="B8" s="185">
        <f>'Inputs &amp; Assumptions'!C25</f>
        <v>0.2</v>
      </c>
      <c r="C8" s="185">
        <f>B8+0.03</f>
        <v>0.23</v>
      </c>
      <c r="D8" s="185">
        <f>B8+0.07</f>
        <v>0.27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328</v>
      </c>
      <c r="B9" s="181">
        <v>0.0</v>
      </c>
      <c r="C9" s="181">
        <v>0.02</v>
      </c>
      <c r="D9" s="181">
        <v>0.04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0" t="s">
        <v>329</v>
      </c>
      <c r="B10" s="181">
        <v>0.0</v>
      </c>
      <c r="C10" s="181">
        <v>0.1</v>
      </c>
      <c r="D10" s="181">
        <v>0.2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9" t="s">
        <v>72</v>
      </c>
      <c r="B12" s="186">
        <f>'Library Valuation'!B32</f>
        <v>132046743.9</v>
      </c>
      <c r="C12" s="186">
        <f>B12*C5*(1-C10)</f>
        <v>101015759.1</v>
      </c>
      <c r="D12" s="186">
        <f>B12*D5*(1-D10)</f>
        <v>73946176.57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0" t="s">
        <v>39</v>
      </c>
      <c r="B13" s="36">
        <f>'Borrowing Base'!F11</f>
        <v>92582284.75</v>
      </c>
      <c r="C13" s="36">
        <f>('Borrowing Base'!F5*C5*(1-C10))+('Borrowing Base'!F6*C6*(1-C10))+('Borrowing Base'!F7*C7*(1-C10))+SUM('Borrowing Base'!F8:F10)*(1-C10)</f>
        <v>72937129.08</v>
      </c>
      <c r="D13" s="36">
        <f>('Borrowing Base'!F5*D5*(1-D10))+('Borrowing Base'!F6*D6*(1-D10))+('Borrowing Base'!F7*D7*(1-D10))+SUM('Borrowing Base'!F8:F10)*(1-D10)</f>
        <v>54700229.46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0" t="s">
        <v>129</v>
      </c>
      <c r="B14" s="57">
        <f>B13/'Inputs &amp; Assumptions'!C36</f>
        <v>1.234430463</v>
      </c>
      <c r="C14" s="102">
        <f>C13/'Inputs &amp; Assumptions'!C36</f>
        <v>0.9724950544</v>
      </c>
      <c r="D14" s="102">
        <f>D13/'Inputs &amp; Assumptions'!C36</f>
        <v>0.7293363928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 t="s">
        <v>36</v>
      </c>
      <c r="B15" s="57">
        <f>'Debt Service'!B12</f>
        <v>1.896125309</v>
      </c>
      <c r="C15" s="57">
        <f>('Revenue Waterfall'!B5*C5-'Revenue Waterfall'!B5*C5*C8-'Revenue Waterfall'!B5*C5*SUM('Inputs &amp; Assumptions'!C26:C29))/('Debt Service'!B7+'Debt Service'!B5*('Debt Structure'!B8+C9))</f>
        <v>1.323425336</v>
      </c>
      <c r="D15" s="102">
        <f>('Revenue Waterfall'!B5*D5-'Revenue Waterfall'!B5*D5*D8-'Revenue Waterfall'!B5*D5*SUM('Inputs &amp; Assumptions'!C26:C29))/('Debt Service'!B7+'Debt Service'!B5*('Debt Structure'!B8+D9))</f>
        <v>0.8968795206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0" t="s">
        <v>319</v>
      </c>
      <c r="B16" s="184">
        <f>'Inputs &amp; Assumptions'!C36/B13</f>
        <v>0.8100901831</v>
      </c>
      <c r="C16" s="187">
        <f>'Inputs &amp; Assumptions'!C36/C13</f>
        <v>1.028282864</v>
      </c>
      <c r="D16" s="187">
        <f>'Inputs &amp; Assumptions'!C36/D13</f>
        <v>1.371109422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5" t="s">
        <v>40</v>
      </c>
      <c r="B18" s="150"/>
      <c r="C18" s="150"/>
      <c r="D18" s="4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2" t="str">
        <f>"Downside DSCR remains "&amp;TEXT(C15,"0.00x")&amp;", but borrowing-base coverage declines to "&amp;TEXT(C14,"0.00x")&amp;" and requires an equity cure or mandatory paydown."</f>
        <v>Downside DSCR remains 1.32x, but borrowing-base coverage declines to 0.97x and requires an equity cure or mandatory paydown.</v>
      </c>
      <c r="B19" s="151"/>
      <c r="C19" s="151"/>
      <c r="D19" s="5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75"/>
    <col customWidth="1" min="2" max="3" width="15.75"/>
    <col customWidth="1" min="4" max="4" width="23.88"/>
    <col customWidth="1" min="5" max="5" width="27.0"/>
    <col customWidth="1" min="6" max="6" width="43.5"/>
    <col customWidth="1" min="7" max="8" width="15.75"/>
    <col customWidth="1" min="9" max="9" width="22.63"/>
    <col customWidth="1" min="10" max="10" width="34.88"/>
    <col customWidth="1" min="11" max="11" width="15.75"/>
  </cols>
  <sheetData>
    <row r="1">
      <c r="A1" s="3" t="s">
        <v>330</v>
      </c>
      <c r="B1" s="8"/>
      <c r="C1" s="8"/>
      <c r="D1" s="8"/>
      <c r="E1" s="8"/>
      <c r="F1" s="8"/>
      <c r="G1" s="8"/>
      <c r="H1" s="8"/>
      <c r="I1" s="8"/>
      <c r="J1" s="8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331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88" t="s">
        <v>332</v>
      </c>
      <c r="B4" s="188" t="s">
        <v>333</v>
      </c>
      <c r="C4" s="188" t="s">
        <v>334</v>
      </c>
      <c r="D4" s="188" t="s">
        <v>335</v>
      </c>
      <c r="E4" s="188" t="s">
        <v>201</v>
      </c>
      <c r="F4" s="188" t="s">
        <v>336</v>
      </c>
      <c r="G4" s="188" t="s">
        <v>211</v>
      </c>
      <c r="H4" s="188" t="s">
        <v>41</v>
      </c>
      <c r="I4" s="188" t="s">
        <v>13</v>
      </c>
      <c r="J4" s="188" t="s">
        <v>84</v>
      </c>
      <c r="K4" s="188" t="s">
        <v>337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9" t="s">
        <v>338</v>
      </c>
      <c r="B5" s="189">
        <v>2025.0</v>
      </c>
      <c r="C5" s="190">
        <v>5.5E8</v>
      </c>
      <c r="D5" s="189" t="s">
        <v>339</v>
      </c>
      <c r="E5" s="189" t="s">
        <v>340</v>
      </c>
      <c r="F5" s="189" t="s">
        <v>341</v>
      </c>
      <c r="G5" s="189" t="s">
        <v>342</v>
      </c>
      <c r="H5" s="189" t="s">
        <v>343</v>
      </c>
      <c r="I5" s="189" t="s">
        <v>344</v>
      </c>
      <c r="J5" s="189" t="s">
        <v>345</v>
      </c>
      <c r="K5" s="191">
        <v>45735.0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89" t="s">
        <v>346</v>
      </c>
      <c r="B6" s="189">
        <v>2024.0</v>
      </c>
      <c r="C6" s="190">
        <v>1.25E9</v>
      </c>
      <c r="D6" s="189" t="s">
        <v>347</v>
      </c>
      <c r="E6" s="189" t="s">
        <v>348</v>
      </c>
      <c r="F6" s="189" t="s">
        <v>349</v>
      </c>
      <c r="G6" s="189" t="s">
        <v>342</v>
      </c>
      <c r="H6" s="189" t="s">
        <v>342</v>
      </c>
      <c r="I6" s="189" t="s">
        <v>350</v>
      </c>
      <c r="J6" s="189" t="s">
        <v>351</v>
      </c>
      <c r="K6" s="191">
        <v>45623.0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9" t="s">
        <v>352</v>
      </c>
      <c r="B7" s="189">
        <v>2024.0</v>
      </c>
      <c r="C7" s="190">
        <v>1.4E9</v>
      </c>
      <c r="D7" s="189" t="s">
        <v>347</v>
      </c>
      <c r="E7" s="189" t="s">
        <v>353</v>
      </c>
      <c r="F7" s="189" t="s">
        <v>354</v>
      </c>
      <c r="G7" s="189" t="s">
        <v>342</v>
      </c>
      <c r="H7" s="189" t="s">
        <v>342</v>
      </c>
      <c r="I7" s="189" t="s">
        <v>355</v>
      </c>
      <c r="J7" s="189" t="s">
        <v>356</v>
      </c>
      <c r="K7" s="191">
        <v>45628.0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92" t="s">
        <v>357</v>
      </c>
      <c r="B8" s="192">
        <v>2023.0</v>
      </c>
      <c r="C8" s="193">
        <v>4.0E8</v>
      </c>
      <c r="D8" s="192" t="s">
        <v>347</v>
      </c>
      <c r="E8" s="192" t="s">
        <v>358</v>
      </c>
      <c r="F8" s="192" t="s">
        <v>359</v>
      </c>
      <c r="G8" s="192" t="s">
        <v>342</v>
      </c>
      <c r="H8" s="192" t="s">
        <v>342</v>
      </c>
      <c r="I8" s="192" t="s">
        <v>360</v>
      </c>
      <c r="J8" s="192" t="s">
        <v>345</v>
      </c>
      <c r="K8" s="194">
        <v>45258.0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95" t="s">
        <v>40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98" t="s">
        <v>361</v>
      </c>
      <c r="B11" s="151"/>
      <c r="C11" s="151"/>
      <c r="D11" s="151"/>
      <c r="E11" s="151"/>
      <c r="F11" s="151"/>
      <c r="G11" s="151"/>
      <c r="H11" s="151"/>
      <c r="I11" s="151"/>
      <c r="J11" s="151"/>
      <c r="K11" s="5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25"/>
    <col customWidth="1" min="2" max="3" width="18.25"/>
    <col customWidth="1" min="4" max="4" width="42.25"/>
    <col customWidth="1" min="5" max="6" width="18.25"/>
  </cols>
  <sheetData>
    <row r="1">
      <c r="A1" s="3" t="s">
        <v>362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363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364</v>
      </c>
      <c r="B4" s="12" t="s">
        <v>365</v>
      </c>
      <c r="C4" s="12" t="s">
        <v>366</v>
      </c>
      <c r="D4" s="12" t="s">
        <v>367</v>
      </c>
      <c r="E4" s="12" t="s">
        <v>368</v>
      </c>
      <c r="F4" s="12" t="s">
        <v>369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370</v>
      </c>
      <c r="B5" s="30" t="s">
        <v>371</v>
      </c>
      <c r="C5" s="30" t="s">
        <v>372</v>
      </c>
      <c r="D5" s="30" t="s">
        <v>373</v>
      </c>
      <c r="E5" s="30" t="s">
        <v>371</v>
      </c>
      <c r="F5" s="199" t="s">
        <v>374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375</v>
      </c>
      <c r="B6" s="30" t="s">
        <v>371</v>
      </c>
      <c r="C6" s="30" t="s">
        <v>372</v>
      </c>
      <c r="D6" s="30" t="s">
        <v>376</v>
      </c>
      <c r="E6" s="30" t="s">
        <v>371</v>
      </c>
      <c r="F6" s="199" t="s">
        <v>374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377</v>
      </c>
      <c r="B7" s="30" t="s">
        <v>371</v>
      </c>
      <c r="C7" s="30" t="s">
        <v>371</v>
      </c>
      <c r="D7" s="30" t="s">
        <v>378</v>
      </c>
      <c r="E7" s="30" t="s">
        <v>379</v>
      </c>
      <c r="F7" s="199" t="s">
        <v>374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380</v>
      </c>
      <c r="B8" s="30" t="s">
        <v>379</v>
      </c>
      <c r="C8" s="30" t="s">
        <v>371</v>
      </c>
      <c r="D8" s="30" t="s">
        <v>381</v>
      </c>
      <c r="E8" s="30" t="s">
        <v>379</v>
      </c>
      <c r="F8" s="199" t="s">
        <v>374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382</v>
      </c>
      <c r="B9" s="30" t="s">
        <v>371</v>
      </c>
      <c r="C9" s="30" t="s">
        <v>371</v>
      </c>
      <c r="D9" s="30" t="s">
        <v>383</v>
      </c>
      <c r="E9" s="30" t="s">
        <v>371</v>
      </c>
      <c r="F9" s="199" t="s">
        <v>374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00" t="s">
        <v>384</v>
      </c>
      <c r="B10" s="200" t="s">
        <v>385</v>
      </c>
      <c r="C10" s="200" t="s">
        <v>372</v>
      </c>
      <c r="D10" s="200" t="s">
        <v>386</v>
      </c>
      <c r="E10" s="200" t="s">
        <v>379</v>
      </c>
      <c r="F10" s="200" t="s">
        <v>387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0" t="s">
        <v>388</v>
      </c>
      <c r="B11" s="30" t="s">
        <v>371</v>
      </c>
      <c r="C11" s="30" t="s">
        <v>372</v>
      </c>
      <c r="D11" s="30" t="s">
        <v>389</v>
      </c>
      <c r="E11" s="30" t="s">
        <v>371</v>
      </c>
      <c r="F11" s="199" t="s">
        <v>374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5" t="s">
        <v>40</v>
      </c>
      <c r="B13" s="150"/>
      <c r="C13" s="150"/>
      <c r="D13" s="150"/>
      <c r="E13" s="150"/>
      <c r="F13" s="4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98" t="s">
        <v>390</v>
      </c>
      <c r="B14" s="151"/>
      <c r="C14" s="151"/>
      <c r="D14" s="151"/>
      <c r="E14" s="151"/>
      <c r="F14" s="5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38"/>
    <col customWidth="1" min="2" max="2" width="32.63"/>
    <col customWidth="1" min="3" max="4" width="16.38"/>
    <col customWidth="1" min="5" max="5" width="48.0"/>
  </cols>
  <sheetData>
    <row r="1">
      <c r="A1" s="3" t="s">
        <v>391</v>
      </c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392</v>
      </c>
      <c r="B2" s="11"/>
      <c r="C2" s="11"/>
      <c r="D2" s="11"/>
      <c r="E2" s="1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78</v>
      </c>
      <c r="B4" s="12" t="s">
        <v>393</v>
      </c>
      <c r="C4" s="12" t="s">
        <v>394</v>
      </c>
      <c r="D4" s="12" t="s">
        <v>395</v>
      </c>
      <c r="E4" s="12" t="s">
        <v>396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397</v>
      </c>
      <c r="B5" s="201">
        <v>0.2</v>
      </c>
      <c r="C5" s="202">
        <f>'Inputs &amp; Assumptions'!C78</f>
        <v>4</v>
      </c>
      <c r="D5" s="203">
        <f t="shared" ref="D5:D12" si="1">B5*C5</f>
        <v>0.8</v>
      </c>
      <c r="E5" s="30" t="s">
        <v>398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399</v>
      </c>
      <c r="B6" s="201">
        <v>0.18</v>
      </c>
      <c r="C6" s="202">
        <f>'Inputs &amp; Assumptions'!C79</f>
        <v>3</v>
      </c>
      <c r="D6" s="203">
        <f t="shared" si="1"/>
        <v>0.54</v>
      </c>
      <c r="E6" s="30" t="s">
        <v>400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401</v>
      </c>
      <c r="B7" s="201">
        <v>0.12</v>
      </c>
      <c r="C7" s="202">
        <f>'Inputs &amp; Assumptions'!C80</f>
        <v>3</v>
      </c>
      <c r="D7" s="203">
        <f t="shared" si="1"/>
        <v>0.36</v>
      </c>
      <c r="E7" s="30" t="s">
        <v>402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403</v>
      </c>
      <c r="B8" s="201">
        <v>0.1</v>
      </c>
      <c r="C8" s="202">
        <f>'Inputs &amp; Assumptions'!C81</f>
        <v>3</v>
      </c>
      <c r="D8" s="203">
        <f t="shared" si="1"/>
        <v>0.3</v>
      </c>
      <c r="E8" s="30" t="s">
        <v>404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405</v>
      </c>
      <c r="B9" s="201">
        <v>0.12</v>
      </c>
      <c r="C9" s="202">
        <f>'Inputs &amp; Assumptions'!C82</f>
        <v>4</v>
      </c>
      <c r="D9" s="203">
        <f t="shared" si="1"/>
        <v>0.48</v>
      </c>
      <c r="E9" s="30" t="s">
        <v>406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0" t="s">
        <v>407</v>
      </c>
      <c r="B10" s="201">
        <v>0.1</v>
      </c>
      <c r="C10" s="202">
        <f>'Inputs &amp; Assumptions'!C83</f>
        <v>3</v>
      </c>
      <c r="D10" s="203">
        <f t="shared" si="1"/>
        <v>0.3</v>
      </c>
      <c r="E10" s="30" t="s">
        <v>408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0" t="s">
        <v>409</v>
      </c>
      <c r="B11" s="201">
        <v>0.08</v>
      </c>
      <c r="C11" s="202">
        <f>'Inputs &amp; Assumptions'!C84</f>
        <v>3</v>
      </c>
      <c r="D11" s="203">
        <f t="shared" si="1"/>
        <v>0.24</v>
      </c>
      <c r="E11" s="30" t="s">
        <v>410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0" t="s">
        <v>411</v>
      </c>
      <c r="B12" s="201">
        <v>0.1</v>
      </c>
      <c r="C12" s="202">
        <f>'Inputs &amp; Assumptions'!C85</f>
        <v>2</v>
      </c>
      <c r="D12" s="203">
        <f t="shared" si="1"/>
        <v>0.2</v>
      </c>
      <c r="E12" s="30" t="s">
        <v>412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04" t="s">
        <v>413</v>
      </c>
      <c r="B14" s="205">
        <f>SUM(D5:D12)</f>
        <v>3.22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6" t="s">
        <v>10</v>
      </c>
      <c r="B15" s="207" t="str">
        <f>IF(AND(B14&gt;=3.25,'Scenario Analysis'!C14&gt;=1.1,'Scenario Analysis'!C15&gt;=1.15),"CONDITIONAL APPROVAL",IF(B14&gt;=2.75,"WATCH / RESTRUCTURE TERMS","DECLINE"))</f>
        <v>WATCH / RESTRUCTURE TERMS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5" t="s">
        <v>40</v>
      </c>
      <c r="B17" s="150"/>
      <c r="C17" s="150"/>
      <c r="D17" s="150"/>
      <c r="E17" s="4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2" t="str">
        <f>"The weighted score of "&amp;TEXT(B14,"0.00")&amp;" supports only a conditional outcome because downside collateral coverage does not meet the approval threshold."</f>
        <v>The weighted score of 3.22 supports only a conditional outcome because downside collateral coverage does not meet the approval threshold.</v>
      </c>
      <c r="B18" s="151"/>
      <c r="C18" s="151"/>
      <c r="D18" s="151"/>
      <c r="E18" s="5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38"/>
    <col customWidth="1" min="2" max="2" width="24.25"/>
    <col customWidth="1" min="3" max="6" width="13.88"/>
  </cols>
  <sheetData>
    <row r="1">
      <c r="A1" s="3" t="s">
        <v>414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415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 t="s">
        <v>201</v>
      </c>
      <c r="B4" s="12" t="s">
        <v>280</v>
      </c>
      <c r="C4" s="12" t="s">
        <v>215</v>
      </c>
      <c r="D4" s="12" t="s">
        <v>416</v>
      </c>
      <c r="E4" s="12" t="s">
        <v>417</v>
      </c>
      <c r="F4" s="12" t="s">
        <v>418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419</v>
      </c>
      <c r="B5" s="109">
        <f>'Borrowing Base'!E5</f>
        <v>118842069.5</v>
      </c>
      <c r="C5" s="208">
        <f>'Inputs &amp; Assumptions'!C62</f>
        <v>0.65</v>
      </c>
      <c r="D5" s="152">
        <f t="shared" ref="D5:D10" si="1">B5*C5</f>
        <v>77247345.17</v>
      </c>
      <c r="E5" s="168">
        <f>'Inputs &amp; Assumptions'!C65</f>
        <v>2</v>
      </c>
      <c r="F5" s="152">
        <f>D5/(1+'Inputs &amp; Assumptions'!C5)^E5</f>
        <v>66227147.78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159</v>
      </c>
      <c r="B6" s="109">
        <f>'Borrowing Base'!E8</f>
        <v>6800000</v>
      </c>
      <c r="C6" s="209">
        <f>'Inputs &amp; Assumptions'!C72</f>
        <v>0.75</v>
      </c>
      <c r="D6" s="152">
        <f t="shared" si="1"/>
        <v>5100000</v>
      </c>
      <c r="E6" s="168">
        <f>'Inputs &amp; Assumptions'!C65</f>
        <v>2</v>
      </c>
      <c r="F6" s="152">
        <f>D6/(1+'Inputs &amp; Assumptions'!C5)^E6</f>
        <v>4372427.984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151</v>
      </c>
      <c r="B7" s="109">
        <f>'Borrowing Base'!E6</f>
        <v>17575000</v>
      </c>
      <c r="C7" s="209">
        <f>'Inputs &amp; Assumptions'!C73</f>
        <v>0.9</v>
      </c>
      <c r="D7" s="152">
        <f t="shared" si="1"/>
        <v>15817500</v>
      </c>
      <c r="E7" s="168">
        <f>'Inputs &amp; Assumptions'!C65</f>
        <v>2</v>
      </c>
      <c r="F7" s="152">
        <f>D7/(1+'Inputs &amp; Assumptions'!C5)^E7</f>
        <v>13560956.79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 t="s">
        <v>420</v>
      </c>
      <c r="B8" s="109">
        <f>'Borrowing Base'!E7</f>
        <v>10800000</v>
      </c>
      <c r="C8" s="209">
        <f>'Inputs &amp; Assumptions'!C74</f>
        <v>0.7</v>
      </c>
      <c r="D8" s="152">
        <f t="shared" si="1"/>
        <v>7560000</v>
      </c>
      <c r="E8" s="168">
        <f>'Inputs &amp; Assumptions'!C65</f>
        <v>2</v>
      </c>
      <c r="F8" s="152">
        <f>D8/(1+'Inputs &amp; Assumptions'!C5)^E8</f>
        <v>6481481.481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163</v>
      </c>
      <c r="B9" s="109">
        <f>'Borrowing Base'!E9</f>
        <v>5000000</v>
      </c>
      <c r="C9" s="209">
        <f>'Inputs &amp; Assumptions'!C75</f>
        <v>1</v>
      </c>
      <c r="D9" s="152">
        <f t="shared" si="1"/>
        <v>5000000</v>
      </c>
      <c r="E9" s="210">
        <v>0.0</v>
      </c>
      <c r="F9" s="152">
        <f>D9</f>
        <v>5000000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0" t="s">
        <v>167</v>
      </c>
      <c r="B10" s="109">
        <f>'Borrowing Base'!E10</f>
        <v>2250000</v>
      </c>
      <c r="C10" s="209">
        <f>'Inputs &amp; Assumptions'!C76</f>
        <v>0.25</v>
      </c>
      <c r="D10" s="152">
        <f t="shared" si="1"/>
        <v>562500</v>
      </c>
      <c r="E10" s="168">
        <f>'Inputs &amp; Assumptions'!C65</f>
        <v>2</v>
      </c>
      <c r="F10" s="152">
        <f>D10/(1+'Inputs &amp; Assumptions'!C5)^E10</f>
        <v>482253.0864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1" t="s">
        <v>421</v>
      </c>
      <c r="B12" s="212">
        <f>SUM(F5:F10)</f>
        <v>96124267.12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13" t="s">
        <v>422</v>
      </c>
      <c r="B13" s="214">
        <f>MIN(B12,'Inputs &amp; Assumptions'!C36)</f>
        <v>75000000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3" t="s">
        <v>174</v>
      </c>
      <c r="B14" s="215">
        <f>B13/'Inputs &amp; Assumptions'!C36</f>
        <v>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3" t="s">
        <v>423</v>
      </c>
      <c r="B15" s="216">
        <f>'Inputs &amp; Assumptions'!C36-B13</f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3" t="s">
        <v>177</v>
      </c>
      <c r="B16" s="215">
        <f>B15/'Inputs &amp; Assumptions'!C36</f>
        <v>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7" t="s">
        <v>424</v>
      </c>
      <c r="B17" s="218">
        <f>((D5*E5)+(D6*E6)+(D7*E7)+(D8*E8)+(D9*E9)+(D10*E10))/SUM(D5:D10)</f>
        <v>1.910142524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5" t="s">
        <v>40</v>
      </c>
      <c r="B19" s="150"/>
      <c r="C19" s="150"/>
      <c r="D19" s="150"/>
      <c r="E19" s="150"/>
      <c r="F19" s="4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2" t="str">
        <f>"Modeled recovery is "&amp;TEXT(B14,"0.0%")&amp;" with an expected timeline of "&amp;TEXT(B17,"0.0")&amp;" years; legal enforceability and appraisal quality remain the key execution risks."</f>
        <v>Modeled recovery is 100.0% with an expected timeline of 1.9 years; legal enforceability and appraisal quality remain the key execution risks.</v>
      </c>
      <c r="B20" s="151"/>
      <c r="C20" s="151"/>
      <c r="D20" s="151"/>
      <c r="E20" s="151"/>
      <c r="F20" s="5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9.0"/>
    <col customWidth="1" min="2" max="2" width="31.0"/>
    <col customWidth="1" min="3" max="3" width="25.75"/>
    <col customWidth="1" min="4" max="4" width="18.25"/>
    <col customWidth="1" min="5" max="5" width="27.63"/>
    <col customWidth="1" min="6" max="6" width="20.75"/>
  </cols>
  <sheetData>
    <row r="1">
      <c r="A1" s="3" t="s">
        <v>425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426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19" t="s">
        <v>115</v>
      </c>
      <c r="B4" s="219" t="s">
        <v>80</v>
      </c>
      <c r="C4" s="219" t="s">
        <v>84</v>
      </c>
      <c r="D4" s="219" t="s">
        <v>427</v>
      </c>
      <c r="E4" s="219" t="s">
        <v>428</v>
      </c>
      <c r="F4" s="219" t="s">
        <v>86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9" t="s">
        <v>429</v>
      </c>
      <c r="B5" s="220">
        <v>1.7E12</v>
      </c>
      <c r="C5" s="189" t="s">
        <v>430</v>
      </c>
      <c r="D5" s="191">
        <v>45398.0</v>
      </c>
      <c r="E5" s="189" t="s">
        <v>431</v>
      </c>
      <c r="F5" s="189" t="s">
        <v>432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89" t="s">
        <v>433</v>
      </c>
      <c r="B6" s="189" t="s">
        <v>434</v>
      </c>
      <c r="C6" s="189" t="s">
        <v>435</v>
      </c>
      <c r="D6" s="191">
        <v>46215.0</v>
      </c>
      <c r="E6" s="189" t="s">
        <v>436</v>
      </c>
      <c r="F6" s="189" t="s">
        <v>437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9"/>
      <c r="B7" s="189"/>
      <c r="C7" s="189"/>
      <c r="D7" s="191"/>
      <c r="E7" s="189"/>
      <c r="F7" s="18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89"/>
      <c r="B8" s="189"/>
      <c r="C8" s="189"/>
      <c r="D8" s="191"/>
      <c r="E8" s="189"/>
      <c r="F8" s="18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89" t="s">
        <v>180</v>
      </c>
      <c r="B9" s="221">
        <v>0.0363</v>
      </c>
      <c r="C9" s="189" t="s">
        <v>438</v>
      </c>
      <c r="D9" s="191">
        <v>46209.0</v>
      </c>
      <c r="E9" s="189" t="s">
        <v>439</v>
      </c>
      <c r="F9" s="222" t="s">
        <v>440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89" t="s">
        <v>441</v>
      </c>
      <c r="B10" s="220">
        <v>2.1E12</v>
      </c>
      <c r="C10" s="189" t="s">
        <v>430</v>
      </c>
      <c r="D10" s="191">
        <v>45398.0</v>
      </c>
      <c r="E10" s="189" t="s">
        <v>442</v>
      </c>
      <c r="F10" s="189" t="s">
        <v>443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89"/>
      <c r="B11" s="189"/>
      <c r="C11" s="189"/>
      <c r="D11" s="191"/>
      <c r="E11" s="189"/>
      <c r="F11" s="18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89"/>
      <c r="B12" s="189"/>
      <c r="C12" s="189"/>
      <c r="D12" s="191"/>
      <c r="E12" s="189"/>
      <c r="F12" s="18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92"/>
      <c r="B13" s="192"/>
      <c r="C13" s="192"/>
      <c r="D13" s="194"/>
      <c r="E13" s="192"/>
      <c r="F13" s="19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23" t="s">
        <v>40</v>
      </c>
      <c r="B15" s="224"/>
      <c r="C15" s="224"/>
      <c r="D15" s="224"/>
      <c r="E15" s="224"/>
      <c r="F15" s="2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98" t="s">
        <v>444</v>
      </c>
      <c r="B16" s="151"/>
      <c r="C16" s="151"/>
      <c r="D16" s="151"/>
      <c r="E16" s="151"/>
      <c r="F16" s="5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0"/>
    <col customWidth="1" min="2" max="2" width="48.0"/>
    <col customWidth="1" min="3" max="3" width="23.25"/>
    <col customWidth="1" min="4" max="4" width="38.88"/>
    <col customWidth="1" min="5" max="5" width="17.0"/>
    <col customWidth="1" min="6" max="6" width="29.5"/>
    <col customWidth="1" min="7" max="7" width="17.0"/>
    <col customWidth="1" min="8" max="8" width="23.88"/>
  </cols>
  <sheetData>
    <row r="1">
      <c r="A1" s="3" t="s">
        <v>445</v>
      </c>
      <c r="B1" s="8"/>
      <c r="C1" s="8"/>
      <c r="D1" s="8"/>
      <c r="E1" s="8"/>
      <c r="F1" s="8"/>
      <c r="G1" s="8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446</v>
      </c>
      <c r="B2" s="11"/>
      <c r="C2" s="11"/>
      <c r="D2" s="11"/>
      <c r="E2" s="11"/>
      <c r="F2" s="11"/>
      <c r="G2" s="11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26" t="s">
        <v>6</v>
      </c>
      <c r="B4" s="226" t="s">
        <v>447</v>
      </c>
      <c r="C4" s="226" t="s">
        <v>448</v>
      </c>
      <c r="D4" s="226" t="s">
        <v>449</v>
      </c>
      <c r="E4" s="226" t="s">
        <v>85</v>
      </c>
      <c r="F4" s="226" t="s">
        <v>450</v>
      </c>
      <c r="G4" s="226" t="s">
        <v>451</v>
      </c>
      <c r="H4" s="226" t="s">
        <v>452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9" t="s">
        <v>453</v>
      </c>
      <c r="B5" s="189" t="s">
        <v>454</v>
      </c>
      <c r="C5" s="189" t="s">
        <v>455</v>
      </c>
      <c r="D5" s="189" t="s">
        <v>456</v>
      </c>
      <c r="E5" s="191">
        <v>45398.0</v>
      </c>
      <c r="F5" s="227" t="s">
        <v>457</v>
      </c>
      <c r="G5" s="191">
        <v>46215.0</v>
      </c>
      <c r="H5" s="189" t="s">
        <v>458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89" t="s">
        <v>180</v>
      </c>
      <c r="B6" s="189" t="s">
        <v>459</v>
      </c>
      <c r="C6" s="189" t="s">
        <v>460</v>
      </c>
      <c r="D6" s="189" t="s">
        <v>461</v>
      </c>
      <c r="E6" s="191">
        <v>46209.0</v>
      </c>
      <c r="F6" s="227" t="s">
        <v>462</v>
      </c>
      <c r="G6" s="191">
        <v>46215.0</v>
      </c>
      <c r="H6" s="189" t="s">
        <v>463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9" t="s">
        <v>464</v>
      </c>
      <c r="B7" s="189" t="s">
        <v>465</v>
      </c>
      <c r="C7" s="189" t="s">
        <v>466</v>
      </c>
      <c r="D7" s="189" t="s">
        <v>338</v>
      </c>
      <c r="E7" s="191">
        <v>45735.0</v>
      </c>
      <c r="F7" s="227" t="s">
        <v>467</v>
      </c>
      <c r="G7" s="191">
        <v>46215.0</v>
      </c>
      <c r="H7" s="189" t="s">
        <v>468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89" t="s">
        <v>469</v>
      </c>
      <c r="B8" s="189" t="s">
        <v>465</v>
      </c>
      <c r="C8" s="189" t="s">
        <v>470</v>
      </c>
      <c r="D8" s="189" t="s">
        <v>471</v>
      </c>
      <c r="E8" s="191">
        <v>45623.0</v>
      </c>
      <c r="F8" s="227" t="s">
        <v>472</v>
      </c>
      <c r="G8" s="191">
        <v>46215.0</v>
      </c>
      <c r="H8" s="189" t="s">
        <v>473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89" t="s">
        <v>474</v>
      </c>
      <c r="B9" s="189" t="s">
        <v>465</v>
      </c>
      <c r="C9" s="189" t="s">
        <v>475</v>
      </c>
      <c r="D9" s="189" t="s">
        <v>352</v>
      </c>
      <c r="E9" s="191">
        <v>45628.0</v>
      </c>
      <c r="F9" s="227" t="s">
        <v>476</v>
      </c>
      <c r="G9" s="191">
        <v>46215.0</v>
      </c>
      <c r="H9" s="189" t="s">
        <v>477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92" t="s">
        <v>478</v>
      </c>
      <c r="B10" s="192" t="s">
        <v>465</v>
      </c>
      <c r="C10" s="192" t="s">
        <v>479</v>
      </c>
      <c r="D10" s="192" t="s">
        <v>357</v>
      </c>
      <c r="E10" s="194">
        <v>45258.0</v>
      </c>
      <c r="F10" s="228" t="s">
        <v>480</v>
      </c>
      <c r="G10" s="194">
        <v>46215.0</v>
      </c>
      <c r="H10" s="192" t="s">
        <v>481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29" t="s">
        <v>40</v>
      </c>
      <c r="B12" s="230"/>
      <c r="C12" s="230"/>
      <c r="D12" s="230"/>
      <c r="E12" s="230"/>
      <c r="F12" s="230"/>
      <c r="G12" s="230"/>
      <c r="H12" s="23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98" t="s">
        <v>482</v>
      </c>
      <c r="B13" s="151"/>
      <c r="C13" s="151"/>
      <c r="D13" s="151"/>
      <c r="E13" s="151"/>
      <c r="F13" s="151"/>
      <c r="G13" s="151"/>
      <c r="H13" s="5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F5"/>
    <hyperlink r:id="rId2" ref="F6"/>
    <hyperlink r:id="rId3" ref="F7"/>
    <hyperlink r:id="rId4" ref="F9"/>
    <hyperlink r:id="rId5" ref="F10"/>
  </hyperlinks>
  <drawing r:id="rId6"/>
</worksheet>
</file>