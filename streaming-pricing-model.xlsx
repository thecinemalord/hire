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Price History" sheetId="3" state="visible" r:id="rId5"/>
    <sheet name="Panel" sheetId="4" state="visible" r:id="rId6"/>
    <sheet name="Price Analysis" sheetId="5" state="visible" r:id="rId7"/>
    <sheet name="Real vs Nominal" sheetId="6" state="visible" r:id="rId8"/>
    <sheet name="Ad vs No-Ad" sheetId="7" state="visible" r:id="rId9"/>
    <sheet name="Bundles" sheetId="8" state="visible" r:id="rId10"/>
    <sheet name="Price Event Cadence" sheetId="9" state="visible" r:id="rId11"/>
    <sheet name="Subscriber &amp; ARPU" sheetId="10" state="visible" r:id="rId12"/>
    <sheet name="CPI Deflator" sheetId="11" state="visible" r:id="rId13"/>
    <sheet name="Audit Log" sheetId="12" state="visible" r:id="rId14"/>
    <sheet name="Methodology"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<sst xmlns="http://schemas.openxmlformats.org/spreadsheetml/2006/main" count="970" uniqueCount="415">
  <si>
    <t xml:space="preserve">U.S. Streaming Subscription Pricing Analysis, 2018–2026</t>
  </si>
  <si>
    <t xml:space="preserve">What has actually risen since 2018, in nominal and real terms, and whether ad tiers and bundles are absorbing it</t>
  </si>
  <si>
    <t xml:space="preserve">Work sample · Subscription &amp; pricing analytics</t>
  </si>
  <si>
    <t xml:space="preserve">Tanmay Srivastava  ·  srivasta@mail.uc.edu  ·  linkedin.com/in/srivasta26</t>
  </si>
  <si>
    <t xml:space="preserve">Version 2.0  ·  Prices as of 29 July 2026  ·  All current prices re-verified 29–30 July 2026</t>
  </si>
  <si>
    <t xml:space="preserve">WHAT'S IN THIS WORKBOOK</t>
  </si>
  <si>
    <t xml:space="preserve">Standalone subscriber growth has matured, so price and packaging are the levers services pull to manage revenue and churn. This workbook quantifies (1) how U.S. list prices have moved since each service launched, nominal and real; (2) whether the ad-supported tier is functioning as the cheap entry point the industry narrative assumes; and (3) how far bundles discount against standalone pricing. Every headline figure is derived in-sheet from the Price History table.</t>
  </si>
  <si>
    <t xml:space="preserve">Tab</t>
  </si>
  <si>
    <t xml:space="preserve">Contents</t>
  </si>
  <si>
    <t xml:space="preserve">Price History</t>
  </si>
  <si>
    <t xml:space="preserve">67 dated price points, 8 services, 17 tiers, 2018–2026. Every row carries a clickable source link, a publication date and a confidence flag.</t>
  </si>
  <si>
    <t xml:space="preserve">Panel</t>
  </si>
  <si>
    <t xml:space="preserve">Year-end price for every tracked tier, derived by formula from Price History. Everything downstream reads from here.</t>
  </si>
  <si>
    <t xml:space="preserve">Price Analysis</t>
  </si>
  <si>
    <t xml:space="preserve">Total change and CAGR per flagship tier, over each service's own window and a common 2022–2026 window. Mean, median and n.</t>
  </si>
  <si>
    <t xml:space="preserve">Real vs Nominal</t>
  </si>
  <si>
    <t xml:space="preserve">Each endpoint deflated by the CPI-U index of its own period.</t>
  </si>
  <si>
    <t xml:space="preserve">Ad vs No-Ad</t>
  </si>
  <si>
    <t xml:space="preserve">Category-average price by tier type, averaged from the Panel — no typed figures.</t>
  </si>
  <si>
    <t xml:space="preserve">Bundles</t>
  </si>
  <si>
    <t xml:space="preserve">Bundle price vs. component standalone prices at a stated date, split by archetype, with eligibility noted.</t>
  </si>
  <si>
    <t xml:space="preserve">Price Event Cadence</t>
  </si>
  <si>
    <t xml:space="preserve">Price changes per year, counted from Price History with COUNTIFS, and normalized per active tier.</t>
  </si>
  <si>
    <t xml:space="preserve">Subscriber &amp; ARPU</t>
  </si>
  <si>
    <t xml:space="preserve">Company-reported figures where disclosed, with the scope of each metric recorded. Not used in any calculation.</t>
  </si>
  <si>
    <t xml:space="preserve">CPI Deflator</t>
  </si>
  <si>
    <t xml:space="preserve">BLS CPI-U annual averages to 2024; 2025 and 2026 are flagged provisional inputs with a sensitivity note.</t>
  </si>
  <si>
    <t xml:space="preserve">Methodology</t>
  </si>
  <si>
    <t xml:space="preserve">Definitions, limitations and a changelog of every correction made across two revisions.</t>
  </si>
  <si>
    <t xml:space="preserve">METHODOLOGY &amp; CAVEATS</t>
  </si>
  <si>
    <t xml:space="preserve">•</t>
  </si>
  <si>
    <t xml:space="preserve">All figures are U.S. list prices, monthly, in USD, for a new direct subscriber. Promotional, annual, student, partner and app-store prices are excluded.</t>
  </si>
  <si>
    <t xml:space="preserve">The panel is not claimed to be exhaustive. It records every price change that could be sourced and dated for the tracked tiers. Where a step could not be tied to a contemporaneous report it is flagged Medium confidence.</t>
  </si>
  <si>
    <t xml:space="preserve">CAGR windows differ by service (5.4 to 8.3 years) and are not directly comparable. The common 2022–2026 window exists for that comparison. Mean, median, range and n are shown together.</t>
  </si>
  <si>
    <t xml:space="preserve">Real figures deflate each price by the CPI-U index of the year it took effect, at both ends.</t>
  </si>
  <si>
    <t xml:space="preserve">ESPN Select has no ad-free tier. Its ad-supported plan is its flagship and is excluded from all ad-free category averages.</t>
  </si>
  <si>
    <t xml:space="preserve">2025 and 2026 CPI values are provisional. BLS did not publish an October 2025 index, so any 2025 annual average is non-standard; see the CPI Deflator tab for the sensitivity.</t>
  </si>
  <si>
    <t xml:space="preserve">Subscriber and ARPU figures are reported values only, with the scope of each recorded. They feed no calculation in this workbook.</t>
  </si>
  <si>
    <t xml:space="preserve">Nothing here measures churn, retention, elasticity, ad ARPU or contribution margin, and no claim in this workbook depends on them.</t>
  </si>
  <si>
    <t xml:space="preserve">Dashboard</t>
  </si>
  <si>
    <t xml:space="preserve">Every figure on this tab is a link or a formula. Nothing here is typed.</t>
  </si>
  <si>
    <t xml:space="preserve">Mean CAGR, common window</t>
  </si>
  <si>
    <t xml:space="preserve">CPI-U, same window</t>
  </si>
  <si>
    <t xml:space="preserve">Mean real price change</t>
  </si>
  <si>
    <t xml:space="preserve">Price points tracked</t>
  </si>
  <si>
    <t xml:space="preserve">Flagship tier inflation summary</t>
  </si>
  <si>
    <t xml:space="preserve">Service</t>
  </si>
  <si>
    <t xml:space="preserve">Launch</t>
  </si>
  <si>
    <t xml:space="preserve">Total % chg</t>
  </si>
  <si>
    <t xml:space="preserve">CAGR</t>
  </si>
  <si>
    <t xml:space="preserve">Real % chg</t>
  </si>
  <si>
    <t xml:space="preserve">What the panel shows</t>
  </si>
  <si>
    <t xml:space="preserve">1.</t>
  </si>
  <si>
    <t xml:space="preserve">Flagship prices rose at roughly three times CPI over the common 2022–2026 window, and about half the increase survives deflation.</t>
  </si>
  <si>
    <t xml:space="preserve">2.</t>
  </si>
  <si>
    <t xml:space="preserve">The growth is concentrated. Three of the eight services account for almost all of the real increase; two are flat or negative in real terms.</t>
  </si>
  <si>
    <t xml:space="preserve">3.</t>
  </si>
  <si>
    <t xml:space="preserve">The ad tier has risen slightly faster than the ad-free tier since end-2022, and the implied discount has held flat near 36%.</t>
  </si>
  <si>
    <t xml:space="preserve">4.</t>
  </si>
  <si>
    <t xml:space="preserve">Bundles discount roughly a third to two thirds against standalone pricing, so list price is a weak proxy for realized revenue.</t>
  </si>
  <si>
    <t xml:space="preserve">5.</t>
  </si>
  <si>
    <t xml:space="preserve">Services that launched cheapest have compounded fastest. That is descriptive across eight observations; no convergence test is performed.</t>
  </si>
  <si>
    <t xml:space="preserve">Not tested</t>
  </si>
  <si>
    <t xml:space="preserve">Whether ad tiers or bundles protect retention. This panel cannot show it, and churn, cohort and ad-ARPU data would be the next input.</t>
  </si>
  <si>
    <t xml:space="preserve">Automation (VBA)</t>
  </si>
  <si>
    <t xml:space="preserve">RunDataAudit</t>
  </si>
  <si>
    <t xml:space="preserve">Checks all 67 price points and writes a timestamped Audit Log sheet: missing source URLs, Medium-confidence rows, bad dates, duplicate service/tier/date rows, formula errors on any sheet, and any tier whose current price is over 24 months old.</t>
  </si>
  <si>
    <t xml:space="preserve">AddPriceChange</t>
  </si>
  <si>
    <t xml:space="preserve">Adds a price point in sort order inside the existing data block, so the absolute ranges the Panel depends on expand with it, then rebuilds the Event type column and offers to move the as-of date.</t>
  </si>
  <si>
    <t xml:space="preserve">RebuildEventTypes</t>
  </si>
  <si>
    <t xml:space="preserve">Re-flags each tier's first observed price as Baseline and the rest as Change. The cadence counts read this column.</t>
  </si>
  <si>
    <t xml:space="preserve">SetAsOfDate</t>
  </si>
  <si>
    <t xml:space="preserve">Moves the single as-of date cell, forces a full rebuild and reports the refreshed headline figures.</t>
  </si>
  <si>
    <t xml:space="preserve">Alt+F8 to run. Modules mPriceModel and mAudit; source is readable in the VBA editor (Alt+F11).</t>
  </si>
  <si>
    <t xml:space="preserve">Price History — U.S. Monthly List Prices</t>
  </si>
  <si>
    <t xml:space="preserve">One row per service, tier and effective date. Dates are true date values and drive every calculation downstream. Blue text marks a sourced hardcoded input. Event type separates a tier's first observed price (Baseline) from a subsequent change.</t>
  </si>
  <si>
    <t xml:space="preserve">Tier</t>
  </si>
  <si>
    <t xml:space="preserve">Effective date</t>
  </si>
  <si>
    <t xml:space="preserve">Price $/mo</t>
  </si>
  <si>
    <t xml:space="preserve">Event type</t>
  </si>
  <si>
    <t xml:space="preserve">Source</t>
  </si>
  <si>
    <t xml:space="preserve">URL</t>
  </si>
  <si>
    <t xml:space="preserve">Published</t>
  </si>
  <si>
    <t xml:space="preserve">Confidence</t>
  </si>
  <si>
    <t xml:space="preserve">Apple TV</t>
  </si>
  <si>
    <t xml:space="preserve">Standard (no ads)</t>
  </si>
  <si>
    <t xml:space="preserve">Baseline</t>
  </si>
  <si>
    <t xml:space="preserve">Launch price (company)</t>
  </si>
  <si>
    <t xml:space="preserve">https://variety.com/2023/digital/news/apple-tv-plus-increases-monthly-price-1235768060/</t>
  </si>
  <si>
    <t xml:space="preserve">25 Oct 2023</t>
  </si>
  <si>
    <t xml:space="preserve">High</t>
  </si>
  <si>
    <t xml:space="preserve">Change</t>
  </si>
  <si>
    <t xml:space="preserve">Oct 2022 increase (company)</t>
  </si>
  <si>
    <t xml:space="preserve">Oct 2023 increase (company)</t>
  </si>
  <si>
    <t xml:space="preserve">https://www.cnbc.com/2023/10/25/apple-raises-price-of-apple-tv-to-9point99-a-month.html</t>
  </si>
  <si>
    <t xml:space="preserve">Aug 2025 increase, +30% (eMarketer; trade press)</t>
  </si>
  <si>
    <t xml:space="preserve">https://www.macrumors.com/2025/08/21/apple-tv-plus-price-increase-announced/</t>
  </si>
  <si>
    <t xml:space="preserve">21 Aug 2025</t>
  </si>
  <si>
    <t xml:space="preserve">Disney+</t>
  </si>
  <si>
    <t xml:space="preserve">Basic w/ ads</t>
  </si>
  <si>
    <t xml:space="preserve">Ad tier launch (TechCrunch)</t>
  </si>
  <si>
    <t xml:space="preserve">https://variety.com/2022/digital/news/disney-plus-ads-launch-price-increase-hulu-1235338148/</t>
  </si>
  <si>
    <t xml:space="preserve">10 Aug 2022</t>
  </si>
  <si>
    <t xml:space="preserve">Oct 2024 increase (TechCrunch)</t>
  </si>
  <si>
    <t xml:space="preserve">https://variety.com/2023/digital/news/disney-plus-price-increase-hulu-espn-plus-1235692057/</t>
  </si>
  <si>
    <t xml:space="preserve">9 Aug 2023</t>
  </si>
  <si>
    <t xml:space="preserve">Oct 2025 increase, +$2 (Variety; TechCrunch)</t>
  </si>
  <si>
    <t xml:space="preserve">https://variety.com/2025/digital/news/disney-plus-hulu-price-increases-october-2025-1236527241/</t>
  </si>
  <si>
    <t xml:space="preserve">23 Sep 2025</t>
  </si>
  <si>
    <t xml:space="preserve">Premium (no ads)</t>
  </si>
  <si>
    <t xml:space="preserve">US launch price (company announcement)</t>
  </si>
  <si>
    <t xml:space="preserve">First increase, Mar 2021 (company)</t>
  </si>
  <si>
    <t xml:space="preserve">https://www.tvline.com/news/disney-plus-with-ads-price-launch-date-hulu-cost-increase-1234860250/</t>
  </si>
  <si>
    <t xml:space="preserve">Ad tier launch; Premium repriced (TechCrunch)</t>
  </si>
  <si>
    <t xml:space="preserve">Oct 2023 increase (CNBC/NBC News)</t>
  </si>
  <si>
    <t xml:space="preserve">https://www.nbcnews.com/business/business-news/disney-raise-monthly-price-ad-free-disney-1399-rcna99126</t>
  </si>
  <si>
    <t xml:space="preserve">3 Aug 2023</t>
  </si>
  <si>
    <t xml:space="preserve">https://techcrunch.com/2025/09/23/disney-is-raising-the-price-of-disney-hulu-subscriptions-next-month/</t>
  </si>
  <si>
    <t xml:space="preserve">Oct 2025 increase, +$3 (Variety 9/23/25; TechCrunch)</t>
  </si>
  <si>
    <t xml:space="preserve">ESPN Select</t>
  </si>
  <si>
    <t xml:space="preserve">Standard w/ ads</t>
  </si>
  <si>
    <t xml:space="preserve">ESPN+ launch price (company)</t>
  </si>
  <si>
    <t xml:space="preserve">Aug 2020 increase (Axios)</t>
  </si>
  <si>
    <t xml:space="preserve">Jul 2021 increase (Axios)</t>
  </si>
  <si>
    <t xml:space="preserve">Aug 2022 increase, +43% (Axios; TechCrunch)</t>
  </si>
  <si>
    <t xml:space="preserve">Aug 2023 increase (trade press)</t>
  </si>
  <si>
    <t xml:space="preserve">Medium</t>
  </si>
  <si>
    <t xml:space="preserve">Oct 2024 increase (trade press)</t>
  </si>
  <si>
    <t xml:space="preserve">Oct 2025 increase, rebrand to ESPN Select (Variety; Streaming Better)</t>
  </si>
  <si>
    <t xml:space="preserve">HBO Max</t>
  </si>
  <si>
    <t xml:space="preserve">Ad tier launch (company)</t>
  </si>
  <si>
    <t xml:space="preserve">https://www.cnbc.com/2025/10/21/hbo-max-raising-prices-all-plans.html</t>
  </si>
  <si>
    <t xml:space="preserve">21 Oct 2025</t>
  </si>
  <si>
    <t xml:space="preserve">Oct 2025 increase, +$1 (CNBC; Variety)</t>
  </si>
  <si>
    <t xml:space="preserve">https://help.hbomax.com/US/Answer/Detail/000002580</t>
  </si>
  <si>
    <t xml:space="preserve">Oct 2025 increase, +$2 (CNBC; Variety)</t>
  </si>
  <si>
    <t xml:space="preserve">https://variety.com/2025/tv/news/hbo-max-prices-increases-plans-2025-1236557671/</t>
  </si>
  <si>
    <t xml:space="preserve">HBO Max launch price (company)</t>
  </si>
  <si>
    <t xml:space="preserve">First increase, Jan 2023 (Variety)</t>
  </si>
  <si>
    <t xml:space="preserve">Jun 2024 increase (Variety)</t>
  </si>
  <si>
    <t xml:space="preserve">Oct 2025 increase, +$1.50 (CNBC 10/21/25; HBO Max help page)</t>
  </si>
  <si>
    <t xml:space="preserve">Hulu</t>
  </si>
  <si>
    <t xml:space="preserve">No ads</t>
  </si>
  <si>
    <t xml:space="preserve">2019 list price (contemporaneous coverage)</t>
  </si>
  <si>
    <t xml:space="preserve">https://streamingpricetracker.com/history/</t>
  </si>
  <si>
    <t xml:space="preserve">27 Jul 2026</t>
  </si>
  <si>
    <t xml:space="preserve">Oct 2022 increase, +$2 (TechCrunch)</t>
  </si>
  <si>
    <t xml:space="preserve">With ads</t>
  </si>
  <si>
    <t xml:space="preserve">Oct 2021 increase (trade press)</t>
  </si>
  <si>
    <t xml:space="preserve">Oct 2022 increase, +$1 (TechCrunch)</t>
  </si>
  <si>
    <t xml:space="preserve">Netflix</t>
  </si>
  <si>
    <t xml:space="preserve">Jan 2019 increase (CNBC)</t>
  </si>
  <si>
    <t xml:space="preserve">https://www.androidauthority.com/timeline-netflix-price-hikes-3463376/</t>
  </si>
  <si>
    <t xml:space="preserve">23 Jul 2024</t>
  </si>
  <si>
    <t xml:space="preserve">Oct 2020 increase (CNBC)</t>
  </si>
  <si>
    <t xml:space="preserve">Jan 2022 increase (CNBC)</t>
  </si>
  <si>
    <t xml:space="preserve">https://www.aol.com/news/netflix-raises-prices-u-plans-225007861.html</t>
  </si>
  <si>
    <t xml:space="preserve">14 Jan 2022</t>
  </si>
  <si>
    <t xml:space="preserve">Oct 2023 increase (CNBC)</t>
  </si>
  <si>
    <t xml:space="preserve">https://m.gsmarena.com/netflix_raises_prices_yet_again_after_squid_game_2_success-news-66199.php</t>
  </si>
  <si>
    <t xml:space="preserve">23 Jan 2025</t>
  </si>
  <si>
    <t xml:space="preserve">Jan 2025 increase (NBC News)</t>
  </si>
  <si>
    <t xml:space="preserve">https://www.nbcnews.com/business/consumer/netflix-hike-prices-standard-ad-supported-streaming-plans-rcna188716</t>
  </si>
  <si>
    <t xml:space="preserve">21 Jan 2025</t>
  </si>
  <si>
    <t xml:space="preserve">Mar 2026 increase (CNBC; Variety)</t>
  </si>
  <si>
    <t xml:space="preserve">https://variety.com/2026/tv/news/netflix-raising-prices-second-time-in-a-year-1236700999/</t>
  </si>
  <si>
    <t xml:space="preserve">26 Mar 2026</t>
  </si>
  <si>
    <t xml:space="preserve">Price increase announced Jan 2019 (CNBC)</t>
  </si>
  <si>
    <t xml:space="preserve">Price increase Oct 2020 (CNBC)</t>
  </si>
  <si>
    <t xml:space="preserve">Price increase Jan 2022 (CNBC)</t>
  </si>
  <si>
    <t xml:space="preserve">Q4'24 earnings-day increase (NBC News, 1/21/25)</t>
  </si>
  <si>
    <t xml:space="preserve">Increase across all tiers (CNBC, 3/26/26; Variety)</t>
  </si>
  <si>
    <t xml:space="preserve">https://www.cnbc.com/2026/03/26/netflix-raises-prices-across-all-streaming-plans.html</t>
  </si>
  <si>
    <t xml:space="preserve">Ad tier launch (company announcement)</t>
  </si>
  <si>
    <t xml:space="preserve">First ad-tier increase (NBC News)</t>
  </si>
  <si>
    <t xml:space="preserve">Paramount+</t>
  </si>
  <si>
    <t xml:space="preserve">Essential w/ ads</t>
  </si>
  <si>
    <t xml:space="preserve">Essential tier launch (TechCrunch)</t>
  </si>
  <si>
    <t xml:space="preserve">https://techcrunch.com/2021/02/24/paramount-will-cost-4-99-per-month-with-ads/amp</t>
  </si>
  <si>
    <t xml:space="preserve">24 Feb 2021</t>
  </si>
  <si>
    <t xml:space="preserve">Jun 2023 increase (trade press)</t>
  </si>
  <si>
    <t xml:space="preserve">https://variety.com/2025/tv/news/paramount-to-hike-prices-in-early-2026-1236574467/</t>
  </si>
  <si>
    <t xml:space="preserve">10 Nov 2025</t>
  </si>
  <si>
    <t xml:space="preserve">Aug 2024 increase, +$2 (Variety)</t>
  </si>
  <si>
    <t xml:space="preserve">Jan 2026 increase, +$1 (Variety)</t>
  </si>
  <si>
    <t xml:space="preserve">Launch price, ad-free tier (TechCrunch 2/24/21; Variety)</t>
  </si>
  <si>
    <t xml:space="preserve">https://variety.com/2021/digital/news/paramount-plus-content-lineup-price-availability-1234914434/</t>
  </si>
  <si>
    <t xml:space="preserve">Jun 2023 increase, w/ SHOWTIME merge (trade press)</t>
  </si>
  <si>
    <t xml:space="preserve">Aug 2024 increase, +$1 (Variety)</t>
  </si>
  <si>
    <t xml:space="preserve">Jan 2026 increase, +$1 (Variety 11/10/25)</t>
  </si>
  <si>
    <t xml:space="preserve">Peacock</t>
  </si>
  <si>
    <t xml:space="preserve">Premium Plus (no ads)</t>
  </si>
  <si>
    <t xml:space="preserve">National launch price (company)</t>
  </si>
  <si>
    <t xml:space="preserve">https://corporate.comcast.com/press/releases/peacock-launches-nationally-july-15-free-and-premium-tiers</t>
  </si>
  <si>
    <t xml:space="preserve">15 Jul 2020</t>
  </si>
  <si>
    <t xml:space="preserve">First increase, Jul 2023 (trade press)</t>
  </si>
  <si>
    <t xml:space="preserve">https://www.aol.com/entertainment/nbcuniversal-peacock-hiking-prices-3-182638817.html</t>
  </si>
  <si>
    <t xml:space="preserve">17 Jul 2025</t>
  </si>
  <si>
    <t xml:space="preserve">Jul 2024 increase, +$2 (Deadline)</t>
  </si>
  <si>
    <t xml:space="preserve">https://www.aol.com/entertainment/peacock-hiking-prices-second-time-163000678.html</t>
  </si>
  <si>
    <t xml:space="preserve">30 Apr 2024</t>
  </si>
  <si>
    <t xml:space="preserve">Jul 2025 increase, +$3 (Variety 7/17/25; Peacock help page)</t>
  </si>
  <si>
    <t xml:space="preserve">Premium w/ ads</t>
  </si>
  <si>
    <t xml:space="preserve">Jul 2023 increase (trade press)</t>
  </si>
  <si>
    <t xml:space="preserve">Jul 2025 increase, +$3 (Variety; Peacock help page)</t>
  </si>
  <si>
    <t xml:space="preserve">Select w/ ads</t>
  </si>
  <si>
    <t xml:space="preserve">New low tier introduced (Variety)</t>
  </si>
  <si>
    <t xml:space="preserve">Every row carries a live source link. Confidence: High means the change is confirmed in a dated company announcement or a contemporaneous trade-press report covering that specific change. Medium means the date or amount was corroborated from a later report or a price-history aggregator rather than reporting published at the time; those rows are all intermediate steps, never an endpoint used in the analysis.</t>
  </si>
  <si>
    <t xml:space="preserve">Panel — Year-End Price by Tier</t>
  </si>
  <si>
    <t xml:space="preserve">Every cell is the last documented price on or before 31 December of that year (or the as-of date for 2026), looked up from Price History by formula. Blank means the tier did not exist yet. This is the single source for every category average in the workbook.</t>
  </si>
  <si>
    <t xml:space="preserve">Tier type</t>
  </si>
  <si>
    <t xml:space="preserve">2019</t>
  </si>
  <si>
    <t xml:space="preserve">2020</t>
  </si>
  <si>
    <t xml:space="preserve">2021</t>
  </si>
  <si>
    <t xml:space="preserve">2022</t>
  </si>
  <si>
    <t xml:space="preserve">2023</t>
  </si>
  <si>
    <t xml:space="preserve">2024</t>
  </si>
  <si>
    <t xml:space="preserve">2025</t>
  </si>
  <si>
    <t xml:space="preserve">2026</t>
  </si>
  <si>
    <t xml:space="preserve">Ad-free</t>
  </si>
  <si>
    <t xml:space="preserve">Ad-supported</t>
  </si>
  <si>
    <t xml:space="preserve">Ad-free rows are averaged on the Ad vs No-Ad tab; ESPN Select is classified Ad-supported and never enters an ad-free average.</t>
  </si>
  <si>
    <t xml:space="preserve">Price Analysis — Flagship Tier Inflation</t>
  </si>
  <si>
    <t xml:space="preserve">Flagship means the ad-free consumer plan, except at ESPN Select, which has never offered one. Launch date and launch price are read from Price History and elapsed years are computed with YEARFRAC rather than typed. Windows differ by service, so read CAGR next to the launch date and alongside the median.</t>
  </si>
  <si>
    <t xml:space="preserve">As-of date</t>
  </si>
  <si>
    <t xml:space="preserve">Single input governing every current-price comparison and the 2026 column of the Panel.</t>
  </si>
  <si>
    <t xml:space="preserve">Flagship tier</t>
  </si>
  <si>
    <t xml:space="preserve">Launch date</t>
  </si>
  <si>
    <t xml:space="preserve">Launch $</t>
  </si>
  <si>
    <t xml:space="preserve">Current $</t>
  </si>
  <si>
    <t xml:space="preserve">Years</t>
  </si>
  <si>
    <t xml:space="preserve">Mean</t>
  </si>
  <si>
    <t xml:space="preserve">Median</t>
  </si>
  <si>
    <t xml:space="preserve">Range (min–max CAGR)</t>
  </si>
  <si>
    <t xml:space="preserve">Common window: year-end 2022 → as-of date. All eight services were in market throughout, so this is the like-for-like comparison; the table above ranks each service on its own history.</t>
  </si>
  <si>
    <t xml:space="preserve">YE2022 $</t>
  </si>
  <si>
    <t xml:space="preserve">Ratio: category mean ÷ CPI</t>
  </si>
  <si>
    <t xml:space="preserve">Takeaway</t>
  </si>
  <si>
    <t xml:space="preserve">Over the common 2022–2026 window, flagship prices rose at roughly three times the rate of general inflation. The spread tracks starting position. Disney+, Apple TV and Peacock all launched cheap and have compounded fastest; HBO Max and Hulu launched at or near the category ceiling and have moved least. Treat that as a pattern across eight observations, not a market law. It also says nothing about profitability, which would need cost and margin data this workbook does not have.</t>
  </si>
  <si>
    <t xml:space="preserve">Source: Price History tab. Windows differ by service (5.4 to 8.3 years), so this ranks each service on its own history. See the common-window table above for the like-for-like comparison.</t>
  </si>
  <si>
    <t xml:space="preserve">Real vs. Nominal — Is 'Streamflation' Real?</t>
  </si>
  <si>
    <t xml:space="preserve">Both endpoints are converted to constant 2019 dollars using the CPI-U index of their own period. Deflating only the current price, which is the common shortcut, overstates real growth for every service that launched after 2019.</t>
  </si>
  <si>
    <t xml:space="preserve">Launch yr</t>
  </si>
  <si>
    <t xml:space="preserve">Launch $ nominal</t>
  </si>
  <si>
    <t xml:space="preserve">Launch $ real (2019)</t>
  </si>
  <si>
    <t xml:space="preserve">Current $ nominal</t>
  </si>
  <si>
    <t xml:space="preserve">Current $ real (2019)</t>
  </si>
  <si>
    <t xml:space="preserve">Nominal % chg</t>
  </si>
  <si>
    <t xml:space="preserve">Roughly half the headline increase survives deflation. These are real increases, not CPI drift, but they are concentrated rather than category-wide. Disney+, Apple TV and ESPN Select account for almost all of the real growth. HBO Max has gone backwards in real terms and Paramount+ has barely moved. The mean of about +48% describes almost none of the eight services individually, which is why the median sits next to it. Sustained real increases are consistent with pricing power. Proving pricing power would take volume, churn or margin evidence, and none of that is here.</t>
  </si>
  <si>
    <t xml:space="preserve">Source: Price History and CPI Deflator tabs. Both endpoints are deflated by the CPI-U index of their own period. The 2026 index is provisional.</t>
  </si>
  <si>
    <t xml:space="preserve">Ad vs. No-Ad Price Divergence</t>
  </si>
  <si>
    <t xml:space="preserve">Both averages are AVERAGE() over the Panel rows for that year, unweighted, with the sample size shown beside each. No figure on this tab is typed.</t>
  </si>
  <si>
    <t xml:space="preserve">Year</t>
  </si>
  <si>
    <t xml:space="preserve">Avg no-ad $</t>
  </si>
  <si>
    <t xml:space="preserve">n</t>
  </si>
  <si>
    <t xml:space="preserve">Avg ad-tier $</t>
  </si>
  <si>
    <t xml:space="preserve">Gap $</t>
  </si>
  <si>
    <t xml:space="preserve">Ad as % of no-ad</t>
  </si>
  <si>
    <t xml:space="preserve">Discount</t>
  </si>
  <si>
    <t xml:space="preserve">Note</t>
  </si>
  <si>
    <t xml:space="preserve">Only Hulu and ESPN+ have an ad plan</t>
  </si>
  <si>
    <t xml:space="preserve">Peacock launches with both tiers</t>
  </si>
  <si>
    <t xml:space="preserve">HBO Max adds an ad tier</t>
  </si>
  <si>
    <t xml:space="preserve">Netflix and Disney+ launch ad tiers — all seven present</t>
  </si>
  <si>
    <t xml:space="preserve">First broad round of no-ad increases</t>
  </si>
  <si>
    <t xml:space="preserve">Both tiers rise together</t>
  </si>
  <si>
    <t xml:space="preserve">Largest single year of increases in the panel</t>
  </si>
  <si>
    <t xml:space="preserve">As of the as-of date; Netflix and Paramount+ have already moved</t>
  </si>
  <si>
    <t xml:space="preserve">Takeaway — the ad tier is not holding the line</t>
  </si>
  <si>
    <t xml:space="preserve">The standard claim is that the ad tier stays cheap while no-ad prices climb, widening the discount and steering price-sensitive subscribers down rather than out. This panel does not support it. Since end-2022, with all seven ad tiers in market, the ad-supported average has risen slightly faster than the ad-free average and the implied discount has held flat near 36%. The entry point itself has nearly doubled since 2020. The dollar gap widens only because both lines are rising together off different bases. Whether ad tiers help retention is not tested here; that would need ad ARPU and cohort data. If they do help, it is not through a widening price advantage.</t>
  </si>
  <si>
    <t xml:space="preserve">Source: Panel tab, unweighted means. Sample size for each year is in the n columns above. 2026 is measured at the as-of date, not a full year.</t>
  </si>
  <si>
    <t xml:space="preserve">Bundles — Savings Computed Against the Price Panel</t>
  </si>
  <si>
    <t xml:space="preserve">Bundle price vs. the sum of its components' standalone prices, both measured at the same stated date. Component prices are pulled from Price History, so each figure is reproducible. Archetypes differ in eligibility and are not averaged together as if they were one market.</t>
  </si>
  <si>
    <t xml:space="preserve">Bundle</t>
  </si>
  <si>
    <t xml:space="preserve">Archetype</t>
  </si>
  <si>
    <t xml:space="preserve">Priced as of</t>
  </si>
  <si>
    <t xml:space="preserve">Bundle $</t>
  </si>
  <si>
    <t xml:space="preserve">Standalone $</t>
  </si>
  <si>
    <t xml:space="preserve">Savings %</t>
  </si>
  <si>
    <t xml:space="preserve">Eligibility / caveat</t>
  </si>
  <si>
    <t xml:space="preserve">Disney+ / Hulu / HBO Max</t>
  </si>
  <si>
    <t xml:space="preserve">Streamer-to-streamer</t>
  </si>
  <si>
    <t xml:space="preserve">hulu.com/disney-hulu-hbomax-bundle</t>
  </si>
  <si>
    <t xml:space="preserve">Open to anyone; direct-billed only. Ad-free version is $32.99.</t>
  </si>
  <si>
    <t xml:space="preserve">Apple TV / Peacock</t>
  </si>
  <si>
    <t xml:space="preserve">Company announcements, Oct 2025</t>
  </si>
  <si>
    <t xml:space="preserve">Launch pricing; not re-verified as current.</t>
  </si>
  <si>
    <t xml:space="preserve">Xfinity StreamSaver</t>
  </si>
  <si>
    <t xml:space="preserve">Cable distributor</t>
  </si>
  <si>
    <t xml:space="preserve">Comcast announcement, May 2024</t>
  </si>
  <si>
    <t xml:space="preserve">Requires an existing Xfinity TV/internet subscription. Launch pricing.</t>
  </si>
  <si>
    <t xml:space="preserve">Verizon myPlan: Netflix &amp; HBO Max</t>
  </si>
  <si>
    <t xml:space="preserve">Telecom perk</t>
  </si>
  <si>
    <t xml:space="preserve">Verizon announcement, Dec 2023</t>
  </si>
  <si>
    <t xml:space="preserve">Perk requires an eligible myPlan line. Launch pricing.</t>
  </si>
  <si>
    <t xml:space="preserve">Verizon myPlan: Disney bundle</t>
  </si>
  <si>
    <t xml:space="preserve">Median, all five</t>
  </si>
  <si>
    <t xml:space="preserve">Range</t>
  </si>
  <si>
    <t xml:space="preserve">Telecom perks (mean)</t>
  </si>
  <si>
    <t xml:space="preserve">Streamer / distributor (mean)</t>
  </si>
  <si>
    <t xml:space="preserve">Discounts run from about a third to two thirds off standalone, and they deepen as the distributor moves further from the content. Telecom perks are steepest because the carrier is buying retention on its own subscription rather than the streamer's. These are five different products with different eligibility rules, so read the median and range rather than the mean. Only the top row is verified as current; the others are launch-date snapshots, labeled as such.</t>
  </si>
  <si>
    <t xml:space="preserve">Source: Price History tab. Five different products with different eligibility rules, so read the median and range rather than the mean. Only the top row is verified as current.</t>
  </si>
  <si>
    <t xml:space="preserve">Price-Change Cadence</t>
  </si>
  <si>
    <t xml:space="preserve">Counts are COUNTIFS over Price History: rows of Event type "Change", by calendar year. A tier's first observed price is a Baseline and is excluded. Because the tracked tier count grows over time, changes per active tier is the comparable series.</t>
  </si>
  <si>
    <t xml:space="preserve"># price changes</t>
  </si>
  <si>
    <t xml:space="preserve">Active tiers</t>
  </si>
  <si>
    <t xml:space="preserve">Changes per tier</t>
  </si>
  <si>
    <t xml:space="preserve">Notable moves</t>
  </si>
  <si>
    <t xml:space="preserve">Netflix; ESPN+ first increase</t>
  </si>
  <si>
    <t xml:space="preserve">Disney+ to $7.99; Hulu ad tier; ESPN+</t>
  </si>
  <si>
    <t xml:space="preserve">Netflix; Hulu both tiers; Apple TV; ESPN+ +43%; Disney+ Premium repriced alongside its ad-tier launch</t>
  </si>
  <si>
    <t xml:space="preserve">Disney+ and Hulu October round; HBO Max first increase; Peacock first increase; Paramount+ with SHOWTIME; Apple TV; Netflix Premium</t>
  </si>
  <si>
    <t xml:space="preserve">Disney+ and Hulu; HBO Max; Peacock both tiers; Paramount+ both tiers; ESPN+</t>
  </si>
  <si>
    <t xml:space="preserve">Netflix all tiers; Disney+ and Hulu ad tiers; HBO Max all tiers; Peacock +$3; Apple TV +30%; ESPN Select rebrand</t>
  </si>
  <si>
    <t xml:space="preserve">Netflix all tiers (Mar); Paramount+ both tiers (Jan) — year-to-date through July</t>
  </si>
  <si>
    <t xml:space="preserve">Total</t>
  </si>
  <si>
    <t xml:space="preserve">2026 covers seven months of twelve. Five changes to 29 July annualizes to roughly nine, which puts it in line with 2025 rather than below it, so the fall at the right edge is a partial year and not a slowdown. Changes per active tier controls for the panel widening as services added tiers. On that basis the acceleration from 2021 to 2025 is smaller than the raw count implies, but still clear.</t>
  </si>
  <si>
    <t xml:space="preserve">Source: Price History tab, COUNTIFS on rows of Event type "Change". 2026 is year-to-date through July. See changes per active tier for the series adjusted for panel width.</t>
  </si>
  <si>
    <t xml:space="preserve">Subscriber &amp; ARPU — Reported Figures Only</t>
  </si>
  <si>
    <t xml:space="preserve">Reported values with the scope of each metric recorded, because subscriber and ARPU definitions differ by company. These figures feed no calculation elsewhere in this workbook and are not charted as a panel. n/d means not disclosed and is never filled with an estimate.</t>
  </si>
  <si>
    <t xml:space="preserve">Period</t>
  </si>
  <si>
    <t xml:space="preserve">Subs (M)</t>
  </si>
  <si>
    <t xml:space="preserve">ARPU $/mo</t>
  </si>
  <si>
    <t xml:space="preserve">Scope</t>
  </si>
  <si>
    <t xml:space="preserve">Type</t>
  </si>
  <si>
    <t xml:space="preserve">Q3 2023</t>
  </si>
  <si>
    <t xml:space="preserve">n/d</t>
  </si>
  <si>
    <t xml:space="preserve">Global paid subs</t>
  </si>
  <si>
    <t xml:space="preserve">Reported</t>
  </si>
  <si>
    <t xml:space="preserve">+8.76M in the quarter</t>
  </si>
  <si>
    <t xml:space="preserve">Q4 2024</t>
  </si>
  <si>
    <t xml:space="preserve">Global paid subs; US/Can ARPU</t>
  </si>
  <si>
    <t xml:space="preserve">Last disclosure before reporting was discontinued</t>
  </si>
  <si>
    <t xml:space="preserve">Q2 2025</t>
  </si>
  <si>
    <t xml:space="preserve">—</t>
  </si>
  <si>
    <t xml:space="preserve">Not disclosed</t>
  </si>
  <si>
    <t xml:space="preserve">No longer reports subscribers or ARPU</t>
  </si>
  <si>
    <t xml:space="preserve">Q1 2024</t>
  </si>
  <si>
    <t xml:space="preserve">Core Disney+ global; global ARPU</t>
  </si>
  <si>
    <t xml:space="preserve">Q1 2025</t>
  </si>
  <si>
    <t xml:space="preserve">Domestic ARPU</t>
  </si>
  <si>
    <t xml:space="preserve">Not comparable with the global figure above</t>
  </si>
  <si>
    <t xml:space="preserve">Subscriber reporting ends from Q1 FY26</t>
  </si>
  <si>
    <t xml:space="preserve">Q4 2023</t>
  </si>
  <si>
    <t xml:space="preserve">Blended with legacy linear HBO</t>
  </si>
  <si>
    <t xml:space="preserve">Global ARPU</t>
  </si>
  <si>
    <t xml:space="preserve">Q1 2023</t>
  </si>
  <si>
    <t xml:space="preserve">US paid subs</t>
  </si>
  <si>
    <t xml:space="preserve">+60% YoY</t>
  </si>
  <si>
    <t xml:space="preserve">US paid subs; US ARPU</t>
  </si>
  <si>
    <t xml:space="preserve">Flat in a seasonally light quarter</t>
  </si>
  <si>
    <t xml:space="preserve">Global subs</t>
  </si>
  <si>
    <t xml:space="preserve">+11.6M across 2023</t>
  </si>
  <si>
    <t xml:space="preserve">−1.3M on international hard-bundle expiry</t>
  </si>
  <si>
    <t xml:space="preserve">Q3 2025</t>
  </si>
  <si>
    <t xml:space="preserve">Per Q3 2025 shareholder letter</t>
  </si>
  <si>
    <t xml:space="preserve">Apple has never reported subscribers or ARPU</t>
  </si>
  <si>
    <t xml:space="preserve">Amazon Prime Video</t>
  </si>
  <si>
    <t xml:space="preserve">Not comparable</t>
  </si>
  <si>
    <t xml:space="preserve">Not a standalone subscription; no equivalent figure exists</t>
  </si>
  <si>
    <t xml:space="preserve">The observable picture is thinning as the category consolidates. Netflix stopped reporting after Q4 2024, Disney is winding down subscriber disclosure, and Apple and Amazon have never disclosed at all. What remains is not a panel: global subscribers sit beside domestic ARPU, definitions of a paid subscriber differ by company, and bundle subscribers are attributed inconsistently. That is why these rows carry their scope, stay out of every calculation, and are not charted. Price is public, dated and verifiable, which is why the analysis anchors there instead.</t>
  </si>
  <si>
    <t xml:space="preserve">CPI Deflator — BLS CPI-U</t>
  </si>
  <si>
    <t xml:space="preserve">U.S. city average, all items, annual averages, rebased to 2019 = 100. Values through 2024 are published annual averages. 2025 and 2026 are provisional and shaded, so read the note below before quoting any real figure to two decimal places.</t>
  </si>
  <si>
    <t xml:space="preserve">CPI-U</t>
  </si>
  <si>
    <t xml:space="preserve">Index (2019=100)</t>
  </si>
  <si>
    <t xml:space="preserve">Status</t>
  </si>
  <si>
    <t xml:space="preserve">Published BLS annual average</t>
  </si>
  <si>
    <t xml:space="preserve">Published BLS annual average (40-year-high inflation)</t>
  </si>
  <si>
    <t xml:space="preserve">Provisional</t>
  </si>
  <si>
    <t xml:space="preserve">Provisional. BLS did not publish an October 2025 index owing to the appropriations lapse, so a 2025 annual average is non-standard. Verify against the BLS annual-average table before publication.</t>
  </si>
  <si>
    <t xml:space="preserve">Provisional. Year-to-date only — not an annual average. Real 2026 figures are indicative.</t>
  </si>
  <si>
    <t xml:space="preserve">Needed to deflate the ESPN+ 2018 launch price</t>
  </si>
  <si>
    <t xml:space="preserve">Sensitivity: an independent review puts the 2025 annual average at 321.943 rather than the 323.100 used here. Substituting it moves the average real price change by under one percentage point and changes no conclusion on any tab. The 2025 and 2026 cells are the only two inputs on this tab that are not published annual averages; both are shaded, and every real figure in the workbook flows from them, so they are the first cells to update when BLS publishes.</t>
  </si>
  <si>
    <t xml:space="preserve">Data Quality Audit</t>
  </si>
  <si>
    <t xml:space="preserve">Summary</t>
  </si>
  <si>
    <t xml:space="preserve">Output of the RunDataAudit macro over 67 price points, as-of 29 Jul 2026. Press Alt+F8 and run RunDataAudit to regenerate this sheet with a live timestamp.</t>
  </si>
  <si>
    <t xml:space="preserve">Price points</t>
  </si>
  <si>
    <t xml:space="preserve">Rows with a source URL</t>
  </si>
  <si>
    <t xml:space="preserve">Rows with no URL</t>
  </si>
  <si>
    <t xml:space="preserve">Issue</t>
  </si>
  <si>
    <t xml:space="preserve">Service / sheet</t>
  </si>
  <si>
    <t xml:space="preserve">Tier / detail</t>
  </si>
  <si>
    <t xml:space="preserve">Row</t>
  </si>
  <si>
    <t xml:space="preserve">Medium confidence</t>
  </si>
  <si>
    <t xml:space="preserve">Corroborated from later reporting rather than a contemporaneous announcement</t>
  </si>
  <si>
    <t xml:space="preserve">Possibly stale current price</t>
  </si>
  <si>
    <t xml:space="preserve">Bad dates</t>
  </si>
  <si>
    <t xml:space="preserve">Bad prices</t>
  </si>
  <si>
    <t xml:space="preserve">Duplicate service+tier+date</t>
  </si>
  <si>
    <t xml:space="preserve">Formula errors</t>
  </si>
  <si>
    <t xml:space="preserve">Methodology, Limitations &amp; Changelog</t>
  </si>
  <si>
    <t xml:space="preserve">How every figure is constructed, what it cannot support, and what changed across two revisions.</t>
  </si>
  <si>
    <t xml:space="preserve">Universe</t>
  </si>
  <si>
    <t xml:space="preserve">Eight U.S. subscription services: Netflix, Disney+, Hulu, HBO Max, Peacock, Paramount+, Apple TV and ESPN Select. Amazon Prime Video is excluded — it has no standalone comparable price.</t>
  </si>
  <si>
    <t xml:space="preserve">Price definition</t>
  </si>
  <si>
    <t xml:space="preserve">U.S. list price, monthly, USD, new direct subscriber. Excludes annual, promotional, student, partner and app-store pricing, taxes and fees.</t>
  </si>
  <si>
    <t xml:space="preserve">The ad-free consumer plan. ESPN Select has never offered one, so its single ad-supported tier is used and it is excluded from every ad-free average.</t>
  </si>
  <si>
    <t xml:space="preserve">Model architecture</t>
  </si>
  <si>
    <t xml:space="preserve">Price History is the only table with typed prices. The Panel derives year-end prices from it by formula; Price Analysis, Ad vs No-Ad, Bundles, Cadence and the Dashboard all read from those two. Changing a price or the as-of date updates every downstream figure.</t>
  </si>
  <si>
    <t xml:space="preserve">(P_end / P_start)^(1/years) − 1, with years from YEARFRAC on true date values. Windows differ by service; mean, median, range and n are reported together, and a common 2022–2026 window is provided for like-for-like comparison.</t>
  </si>
  <si>
    <t xml:space="preserve">Real terms</t>
  </si>
  <si>
    <t xml:space="preserve">Each endpoint is divided by the CPI-U index of its own period before comparison. 2025 and 2026 CPI inputs are provisional and flagged on that tab.</t>
  </si>
  <si>
    <t xml:space="preserve">Averages</t>
  </si>
  <si>
    <t xml:space="preserve">Unweighted means, with medians alongside. No subscriber weighting is applied because subscriber counts are not disclosed consistently enough to build one. These describe the price set on offer, not the price the average subscriber pays.</t>
  </si>
  <si>
    <t xml:space="preserve">What this cannot support</t>
  </si>
  <si>
    <t xml:space="preserve">No churn, retention, elasticity, ad ARPU, engagement or margin data is used anywhere. Statements about retention or profitability are labeled as hypotheses on the Dashboard, not findings. Bundles and promotions mean a growing share of subscribers never pays list price.</t>
  </si>
  <si>
    <t xml:space="preserve">Revision 2.0 — architecture</t>
  </si>
  <si>
    <t xml:space="preserve">Dates converted to true date values; elapsed years now computed with YEARFRAC rather than typed. New Panel tab derives every year-end price from Price History by formula. Ad-tier averages, cadence counts, bundle standalone sums and the record count are now derived, not typed. A single as-of date cell governs all current-price comparisons.</t>
  </si>
  <si>
    <t xml:space="preserve">Revision 2.0 — evidence</t>
  </si>
  <si>
    <t xml:space="preserve">Source URLs and publication dates added where captured; rows without a URL are flagged and are never an endpoint used in the analysis. Bundle rows carry eligibility conditions and an as-of date. Subscriber rows carry the scope of each metric. Analyst estimates removed from a sheet that claims to hold reported figures only.</t>
  </si>
  <si>
    <t xml:space="preserve">Revision 2.0 — claims</t>
  </si>
  <si>
    <t xml:space="preserve">'Genuine pricing power', 'sustainable pricing' and 'loss-leader normalization' softened to what the data shows. Findings, observations and hypotheses are now visually separated on the Dashboard. Median and range accompany every mean.</t>
  </si>
  <si>
    <t xml:space="preserve">Revision 1.0 — corrections</t>
  </si>
  <si>
    <t xml:space="preserve">Current prices re-verified: HBO Max Standard $18.49 (Oct 2025, not $17.99); Disney+ Premium $18.99 effective Oct 2025; Paramount+ Premium $13.99 (Jan 2026, not $12.99); ESPN Select $12.99 (Oct 2025, not $11.99); Peacock Premium w/ ads $10.99 (Jul 2025, not $8.99). Netflix's 2011 streaming-only price removed as a baseline. The series now starts Jan 2019, so its CAGR is no longer a 15-year figure presented as seven.</t>
  </si>
  <si>
    <t xml:space="preserve">Real-price method corrected to deflate both endpoints. ESPN Select removed from the ad-free cohort. Launch prices for Peacock Premium Plus and Paramount+ Premium, previously used in analysis without appearing in the price table, added as sourced rows. The claim that the ad/no-ad gap 'roughly doubled' was false on the workbook's own figures and is removed; rebuilding the averages from the panel reversed the finding. A claim that the slowest riser outpaced wage growth was removed. No wage series is used here, and HBO Max in fact trailed both CPI and average hourly earnings.</t>
  </si>
</sst>
</file>

<file path=xl/styles.xml><?xml version="1.0" encoding="utf-8"?>
<styleSheet xmlns="http://schemas.openxmlformats.org/spreadsheetml/2006/main">
  <numFmts count="13">
    <numFmt numFmtId="164" formatCode="General"/>
    <numFmt numFmtId="165" formatCode="0.0%"/>
    <numFmt numFmtId="166" formatCode="0"/>
    <numFmt numFmtId="167" formatCode="mmm\ yyyy"/>
    <numFmt numFmtId="168" formatCode="dd\ mmm\ yyyy"/>
    <numFmt numFmtId="169" formatCode="\$#,##0.00"/>
    <numFmt numFmtId="170" formatCode="0.00"/>
    <numFmt numFmtId="171" formatCode="0.0\x"/>
    <numFmt numFmtId="172" formatCode="0%"/>
    <numFmt numFmtId="173" formatCode="\$0.00"/>
    <numFmt numFmtId="174" formatCode="\$#,##0"/>
    <numFmt numFmtId="175" formatCode="0.0"/>
    <numFmt numFmtId="176" formatCode="0.000"/>
  </numFmts>
  <fonts count="32">
    <font>
      <sz val="11"/>
      <color theme="1"/>
      <name val="Calibri"/>
      <family val="2"/>
      <charset val="1"/>
    </font>
    <font>
      <sz val="10"/>
      <name val="Arial"/>
      <family val="0"/>
    </font>
    <font>
      <sz val="10"/>
      <name val="Arial"/>
      <family val="0"/>
    </font>
    <font>
      <sz val="10"/>
      <name val="Arial"/>
      <family val="0"/>
    </font>
    <font>
      <b val="true"/>
      <sz val="18"/>
      <color rgb="FF1F2A44"/>
      <name val="Arial"/>
      <family val="0"/>
      <charset val="1"/>
    </font>
    <font>
      <sz val="11"/>
      <color rgb="FF666666"/>
      <name val="Arial"/>
      <family val="0"/>
      <charset val="1"/>
    </font>
    <font>
      <b val="true"/>
      <sz val="10"/>
      <color rgb="FF1F2A44"/>
      <name val="Arial"/>
      <family val="0"/>
      <charset val="1"/>
    </font>
    <font>
      <sz val="10"/>
      <name val="Arial"/>
      <family val="0"/>
      <charset val="1"/>
    </font>
    <font>
      <i val="true"/>
      <sz val="10"/>
      <color rgb="FF666666"/>
      <name val="Arial"/>
      <family val="0"/>
      <charset val="1"/>
    </font>
    <font>
      <b val="true"/>
      <sz val="10"/>
      <color rgb="FFFFFFFF"/>
      <name val="Arial"/>
      <family val="0"/>
      <charset val="1"/>
    </font>
    <font>
      <sz val="9"/>
      <name val="Calibri"/>
      <family val="0"/>
      <charset val="1"/>
    </font>
    <font>
      <b val="true"/>
      <sz val="9"/>
      <name val="Calibri"/>
      <family val="0"/>
      <charset val="1"/>
    </font>
    <font>
      <b val="true"/>
      <sz val="15"/>
      <color rgb="FFFFFFFF"/>
      <name val="Arial"/>
      <family val="0"/>
      <charset val="1"/>
    </font>
    <font>
      <sz val="10"/>
      <color rgb="FF666666"/>
      <name val="Arial"/>
      <family val="0"/>
      <charset val="1"/>
    </font>
    <font>
      <b val="true"/>
      <sz val="9"/>
      <color rgb="FFFFFFFF"/>
      <name val="Arial"/>
      <family val="0"/>
      <charset val="1"/>
    </font>
    <font>
      <b val="true"/>
      <sz val="16"/>
      <color rgb="FF1F2A44"/>
      <name val="Arial"/>
      <family val="0"/>
      <charset val="1"/>
    </font>
    <font>
      <i val="true"/>
      <sz val="9"/>
      <color rgb="FF666666"/>
      <name val="Calibri"/>
      <family val="0"/>
      <charset val="1"/>
    </font>
    <font>
      <b val="true"/>
      <sz val="9"/>
      <color rgb="FF000000"/>
      <name val="Calibri"/>
      <family val="0"/>
      <charset val="1"/>
    </font>
    <font>
      <sz val="9"/>
      <color rgb="FF000000"/>
      <name val="Calibri"/>
      <family val="0"/>
      <charset val="1"/>
    </font>
    <font>
      <b val="true"/>
      <sz val="9"/>
      <color rgb="FF006100"/>
      <name val="Calibri"/>
      <family val="0"/>
      <charset val="1"/>
    </font>
    <font>
      <b val="true"/>
      <sz val="9"/>
      <color rgb="FF1F2A44"/>
      <name val="Calibri"/>
      <family val="0"/>
      <charset val="1"/>
    </font>
    <font>
      <b val="true"/>
      <sz val="9"/>
      <color rgb="FF9C0006"/>
      <name val="Calibri"/>
      <family val="0"/>
      <charset val="1"/>
    </font>
    <font>
      <b val="true"/>
      <sz val="9"/>
      <color rgb="FF006100"/>
      <name val="Consolas"/>
      <family val="0"/>
      <charset val="1"/>
    </font>
    <font>
      <sz val="9"/>
      <color rgb="FF0000FF"/>
      <name val="Calibri"/>
      <family val="0"/>
      <charset val="1"/>
    </font>
    <font>
      <u val="single"/>
      <sz val="9"/>
      <color rgb="FF0563C1"/>
      <name val="Calibri"/>
      <family val="0"/>
      <charset val="1"/>
    </font>
    <font>
      <sz val="9"/>
      <color rgb="FF9C0006"/>
      <name val="Calibri"/>
      <family val="0"/>
      <charset val="1"/>
    </font>
    <font>
      <b val="true"/>
      <sz val="9"/>
      <color rgb="FF0000FF"/>
      <name val="Calibri"/>
      <family val="0"/>
      <charset val="1"/>
    </font>
    <font>
      <b val="true"/>
      <sz val="18"/>
      <color rgb="FF000000"/>
      <name val="Calibri"/>
      <family val="2"/>
    </font>
    <font>
      <sz val="10"/>
      <color rgb="FF000000"/>
      <name val="Calibri"/>
      <family val="2"/>
    </font>
    <font>
      <sz val="11"/>
      <color rgb="FF000000"/>
      <name val="Calibri"/>
      <family val="2"/>
    </font>
    <font>
      <sz val="9"/>
      <color rgb="FF666666"/>
      <name val="Calibri"/>
      <family val="0"/>
      <charset val="1"/>
    </font>
    <font>
      <b val="true"/>
      <sz val="15"/>
      <color rgb="FF1F2A44"/>
      <name val="Arial"/>
      <family val="0"/>
      <charset val="1"/>
    </font>
  </fonts>
  <fills count="5">
    <fill>
      <patternFill patternType="none"/>
    </fill>
    <fill>
      <patternFill patternType="gray125"/>
    </fill>
    <fill>
      <patternFill patternType="solid">
        <fgColor rgb="FF44546A"/>
        <bgColor rgb="FF666666"/>
      </patternFill>
    </fill>
    <fill>
      <patternFill patternType="solid">
        <fgColor rgb="FF1D2330"/>
        <bgColor rgb="FF1F2A44"/>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7" fontId="18" fillId="0" borderId="1" xfId="0" applyFont="true" applyBorder="true" applyAlignment="true" applyProtection="false">
      <alignment horizontal="center" vertical="center" textRotation="0" wrapText="fals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8" fontId="23" fillId="0" borderId="1" xfId="0" applyFont="true" applyBorder="true" applyAlignment="true" applyProtection="false">
      <alignment horizontal="center" vertical="center" textRotation="0" wrapText="false" indent="0" shrinkToFit="false"/>
      <protection locked="true" hidden="false"/>
    </xf>
    <xf numFmtId="169" fontId="23"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9" fontId="18" fillId="0" borderId="1" xfId="0" applyFont="true" applyBorder="true" applyAlignment="true" applyProtection="false">
      <alignment horizontal="center" vertical="center" textRotation="0" wrapText="false" indent="0" shrinkToFit="false"/>
      <protection locked="true" hidden="false"/>
    </xf>
    <xf numFmtId="168" fontId="26"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18" fillId="0" borderId="1" xfId="0" applyFont="true" applyBorder="true" applyAlignment="true" applyProtection="false">
      <alignment horizontal="center" vertical="center" textRotation="0" wrapText="false" indent="0" shrinkToFit="false"/>
      <protection locked="true" hidden="false"/>
    </xf>
    <xf numFmtId="170" fontId="18" fillId="0"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71" fontId="19" fillId="0" borderId="1" xfId="0" applyFont="true" applyBorder="true" applyAlignment="true" applyProtection="false">
      <alignment horizontal="center" vertical="center" textRotation="0" wrapText="fals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xf numFmtId="166" fontId="17"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70" fontId="19" fillId="0" borderId="1" xfId="0" applyFont="true" applyBorder="true" applyAlignment="true" applyProtection="false">
      <alignment horizontal="center" vertical="center" textRotation="0" wrapText="false" indent="0" shrinkToFit="false"/>
      <protection locked="true" hidden="false"/>
    </xf>
    <xf numFmtId="175" fontId="23" fillId="0" borderId="1" xfId="0" applyFont="true" applyBorder="true" applyAlignment="true" applyProtection="false">
      <alignment horizontal="center" vertical="center"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76" fontId="23" fillId="0" borderId="1" xfId="0" applyFont="true" applyBorder="true" applyAlignment="true" applyProtection="false">
      <alignment horizontal="center" vertical="center" textRotation="0" wrapText="false" indent="0" shrinkToFit="false"/>
      <protection locked="true" hidden="false"/>
    </xf>
    <xf numFmtId="175" fontId="18" fillId="0" borderId="1" xfId="0" applyFont="true" applyBorder="true" applyAlignment="true" applyProtection="false">
      <alignment horizontal="center" vertical="center" textRotation="0" wrapText="false" indent="0" shrinkToFit="false"/>
      <protection locked="true" hidden="false"/>
    </xf>
    <xf numFmtId="176" fontId="23" fillId="4" borderId="1"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78787"/>
      <rgbColor rgb="FF9999FF"/>
      <rgbColor rgb="FFBE4B48"/>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666666"/>
      <rgbColor rgb="FF969696"/>
      <rgbColor rgb="FF003366"/>
      <rgbColor rgb="FF4F81BD"/>
      <rgbColor rgb="FF003300"/>
      <rgbColor rgb="FF1D2330"/>
      <rgbColor rgb="FF993300"/>
      <rgbColor rgb="FFC0504D"/>
      <rgbColor rgb="FF44546A"/>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Flagship tier CAGR since launch (n=8)</a:t>
            </a:r>
          </a:p>
        </c:rich>
      </c:tx>
      <c:overlay val="0"/>
      <c:spPr>
        <a:noFill/>
        <a:ln w="0">
          <a:noFill/>
        </a:ln>
      </c:spPr>
    </c:title>
    <c:autoTitleDeleted val="0"/>
    <c:plotArea>
      <c:barChart>
        <c:barDir val="bar"/>
        <c:grouping val="clustered"/>
        <c:varyColors val="0"/>
        <c:ser>
          <c:idx val="0"/>
          <c:order val="0"/>
          <c:tx>
            <c:strRef>
              <c:f>'Price Analysis'!I6</c:f>
              <c:strCache>
                <c:ptCount val="1"/>
                <c:pt idx="0">
                  <c:v>CAGR</c:v>
                </c:pt>
              </c:strCache>
            </c:strRef>
          </c:tx>
          <c:spPr>
            <a:solidFill>
              <a:srgbClr val="4f81bd"/>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'Price Analysis'!$B$7:$B$14</c:f>
              <c:strCache>
                <c:ptCount val="8"/>
                <c:pt idx="0">
                  <c:v>Netflix</c:v>
                </c:pt>
                <c:pt idx="1">
                  <c:v>Disney+</c:v>
                </c:pt>
                <c:pt idx="2">
                  <c:v>Hulu</c:v>
                </c:pt>
                <c:pt idx="3">
                  <c:v>HBO Max</c:v>
                </c:pt>
                <c:pt idx="4">
                  <c:v>Peacock</c:v>
                </c:pt>
                <c:pt idx="5">
                  <c:v>Paramount+</c:v>
                </c:pt>
                <c:pt idx="6">
                  <c:v>Apple TV</c:v>
                </c:pt>
                <c:pt idx="7">
                  <c:v>ESPN Select</c:v>
                </c:pt>
              </c:strCache>
            </c:strRef>
          </c:cat>
          <c:val>
            <c:numRef>
              <c:f>'Price Analysis'!$I$7:$I$14</c:f>
              <c:numCache>
                <c:formatCode>0.0%</c:formatCode>
                <c:ptCount val="8"/>
                <c:pt idx="0">
                  <c:v>0.0588781280235087</c:v>
                </c:pt>
                <c:pt idx="1">
                  <c:v>0.160598893435575</c:v>
                </c:pt>
                <c:pt idx="2">
                  <c:v>0.0626032180172844</c:v>
                </c:pt>
                <c:pt idx="3">
                  <c:v>0.0345928751110114</c:v>
                </c:pt>
                <c:pt idx="4">
                  <c:v>0.0919591270411417</c:v>
                </c:pt>
                <c:pt idx="5">
                  <c:v>0.0643112326837456</c:v>
                </c:pt>
                <c:pt idx="6">
                  <c:v>0.152504891927141</c:v>
                </c:pt>
                <c:pt idx="7">
                  <c:v>0.122234176347874</c:v>
                </c:pt>
              </c:numCache>
            </c:numRef>
          </c:val>
        </c:ser>
        <c:gapWidth val="60"/>
        <c:overlap val="0"/>
        <c:axId val="39577076"/>
        <c:axId val="56751736"/>
      </c:barChart>
      <c:catAx>
        <c:axId val="395770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56751736"/>
        <c:crosses val="autoZero"/>
        <c:auto val="1"/>
        <c:lblAlgn val="ctr"/>
        <c:lblOffset val="100"/>
        <c:noMultiLvlLbl val="0"/>
      </c:catAx>
      <c:valAx>
        <c:axId val="5675173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395770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Nominal vs. real price change since launch (n=8)</a:t>
            </a:r>
          </a:p>
        </c:rich>
      </c:tx>
      <c:overlay val="0"/>
      <c:spPr>
        <a:noFill/>
        <a:ln w="0">
          <a:noFill/>
        </a:ln>
      </c:spPr>
    </c:title>
    <c:autoTitleDeleted val="0"/>
    <c:plotArea>
      <c:barChart>
        <c:barDir val="bar"/>
        <c:grouping val="clustered"/>
        <c:varyColors val="0"/>
        <c:ser>
          <c:idx val="0"/>
          <c:order val="0"/>
          <c:tx>
            <c:strRef>
              <c:f>'Real vs Nominal'!H5</c:f>
              <c:strCache>
                <c:ptCount val="1"/>
                <c:pt idx="0">
                  <c:v>Nominal % chg</c:v>
                </c:pt>
              </c:strCache>
            </c:strRef>
          </c:tx>
          <c:spPr>
            <a:solidFill>
              <a:srgbClr val="4f81bd"/>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'Real vs Nominal'!$B$6:$B$13</c:f>
              <c:strCache>
                <c:ptCount val="8"/>
                <c:pt idx="0">
                  <c:v>Netflix</c:v>
                </c:pt>
                <c:pt idx="1">
                  <c:v>Disney+</c:v>
                </c:pt>
                <c:pt idx="2">
                  <c:v>Hulu</c:v>
                </c:pt>
                <c:pt idx="3">
                  <c:v>HBO Max</c:v>
                </c:pt>
                <c:pt idx="4">
                  <c:v>Peacock</c:v>
                </c:pt>
                <c:pt idx="5">
                  <c:v>Paramount+</c:v>
                </c:pt>
                <c:pt idx="6">
                  <c:v>Apple TV</c:v>
                </c:pt>
                <c:pt idx="7">
                  <c:v>ESPN Select</c:v>
                </c:pt>
              </c:strCache>
            </c:strRef>
          </c:cat>
          <c:val>
            <c:numRef>
              <c:f>'Real vs Nominal'!$H$6:$H$13</c:f>
              <c:numCache>
                <c:formatCode>0.0%</c:formatCode>
                <c:ptCount val="8"/>
                <c:pt idx="0">
                  <c:v>0.538876058506543</c:v>
                </c:pt>
                <c:pt idx="1">
                  <c:v>1.71673819742489</c:v>
                </c:pt>
                <c:pt idx="2">
                  <c:v>0.583819849874896</c:v>
                </c:pt>
                <c:pt idx="3">
                  <c:v>0.233488992661774</c:v>
                </c:pt>
                <c:pt idx="4">
                  <c:v>0.700700700700701</c:v>
                </c:pt>
                <c:pt idx="5">
                  <c:v>0.400400400400401</c:v>
                </c:pt>
                <c:pt idx="6">
                  <c:v>1.60320641282565</c:v>
                </c:pt>
                <c:pt idx="7">
                  <c:v>1.60320641282565</c:v>
                </c:pt>
              </c:numCache>
            </c:numRef>
          </c:val>
        </c:ser>
        <c:ser>
          <c:idx val="1"/>
          <c:order val="1"/>
          <c:tx>
            <c:strRef>
              <c:f>'Real vs Nominal'!I5</c:f>
              <c:strCache>
                <c:ptCount val="1"/>
                <c:pt idx="0">
                  <c:v>Real % chg</c:v>
                </c:pt>
              </c:strCache>
            </c:strRef>
          </c:tx>
          <c:spPr>
            <a:solidFill>
              <a:srgbClr val="c0504d"/>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'Real vs Nominal'!$B$6:$B$13</c:f>
              <c:strCache>
                <c:ptCount val="8"/>
                <c:pt idx="0">
                  <c:v>Netflix</c:v>
                </c:pt>
                <c:pt idx="1">
                  <c:v>Disney+</c:v>
                </c:pt>
                <c:pt idx="2">
                  <c:v>Hulu</c:v>
                </c:pt>
                <c:pt idx="3">
                  <c:v>HBO Max</c:v>
                </c:pt>
                <c:pt idx="4">
                  <c:v>Peacock</c:v>
                </c:pt>
                <c:pt idx="5">
                  <c:v>Paramount+</c:v>
                </c:pt>
                <c:pt idx="6">
                  <c:v>Apple TV</c:v>
                </c:pt>
                <c:pt idx="7">
                  <c:v>ESPN Select</c:v>
                </c:pt>
              </c:strCache>
            </c:strRef>
          </c:cat>
          <c:val>
            <c:numRef>
              <c:f>'Real vs Nominal'!$I$6:$I$13</c:f>
              <c:numCache>
                <c:formatCode>0.0%</c:formatCode>
                <c:ptCount val="8"/>
                <c:pt idx="0">
                  <c:v>0.180037302008421</c:v>
                </c:pt>
                <c:pt idx="1">
                  <c:v>1.08324276346447</c:v>
                </c:pt>
                <c:pt idx="2">
                  <c:v>0.214500993879623</c:v>
                </c:pt>
                <c:pt idx="3">
                  <c:v>-0.0424699469712463</c:v>
                </c:pt>
                <c:pt idx="4">
                  <c:v>0.320216103926362</c:v>
                </c:pt>
                <c:pt idx="5">
                  <c:v>0.138171855118466</c:v>
                </c:pt>
                <c:pt idx="6">
                  <c:v>0.996184588733556</c:v>
                </c:pt>
                <c:pt idx="7">
                  <c:v>0.960657926530927</c:v>
                </c:pt>
              </c:numCache>
            </c:numRef>
          </c:val>
        </c:ser>
        <c:gapWidth val="80"/>
        <c:overlap val="0"/>
        <c:axId val="45460962"/>
        <c:axId val="87099572"/>
      </c:barChart>
      <c:catAx>
        <c:axId val="454609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87099572"/>
        <c:crosses val="autoZero"/>
        <c:auto val="1"/>
        <c:lblAlgn val="ctr"/>
        <c:lblOffset val="100"/>
        <c:noMultiLvlLbl val="0"/>
      </c:catAx>
      <c:valAx>
        <c:axId val="8709957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454609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Category-average monthly price by tier type</a:t>
            </a:r>
          </a:p>
        </c:rich>
      </c:tx>
      <c:overlay val="0"/>
      <c:spPr>
        <a:noFill/>
        <a:ln w="0">
          <a:noFill/>
        </a:ln>
      </c:spPr>
    </c:title>
    <c:autoTitleDeleted val="0"/>
    <c:plotArea>
      <c:lineChart>
        <c:grouping val="standard"/>
        <c:varyColors val="0"/>
        <c:ser>
          <c:idx val="0"/>
          <c:order val="0"/>
          <c:tx>
            <c:strRef>
              <c:f>'Ad vs No-Ad'!C5</c:f>
              <c:strCache>
                <c:ptCount val="1"/>
                <c:pt idx="0">
                  <c:v>Avg no-ad $</c:v>
                </c:pt>
              </c:strCache>
            </c:strRef>
          </c:tx>
          <c:spPr>
            <a:solidFill>
              <a:srgbClr val="4a7ebb"/>
            </a:solidFill>
            <a:ln w="28440">
              <a:solidFill>
                <a:srgbClr val="4a7ebb"/>
              </a:solidFill>
              <a:round/>
            </a:ln>
          </c:spPr>
          <c:marker>
            <c:symbol val="none"/>
          </c:marker>
          <c:dLbls>
            <c:numFmt formatCode="\$0.00" sourceLinked="1"/>
            <c:txPr>
              <a:bodyPr wrap="square"/>
              <a:lstStyle/>
              <a:p>
                <a:pPr>
                  <a:defRPr b="0" sz="1000" spc="-1" strike="noStrike">
                    <a:solidFill>
                      <a:srgbClr val="000000"/>
                    </a:solidFill>
                    <a:latin typeface="Calibri"/>
                  </a:defRPr>
                </a:pPr>
              </a:p>
            </c:txPr>
            <c:dLblPos val="r"/>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'Ad vs No-Ad'!$B$6:$B$13</c:f>
              <c:strCache>
                <c:ptCount val="8"/>
                <c:pt idx="0">
                  <c:v>2019</c:v>
                </c:pt>
                <c:pt idx="1">
                  <c:v>2020</c:v>
                </c:pt>
                <c:pt idx="2">
                  <c:v>2021</c:v>
                </c:pt>
                <c:pt idx="3">
                  <c:v>2022</c:v>
                </c:pt>
                <c:pt idx="4">
                  <c:v>2023</c:v>
                </c:pt>
                <c:pt idx="5">
                  <c:v>2024</c:v>
                </c:pt>
                <c:pt idx="6">
                  <c:v>2025</c:v>
                </c:pt>
                <c:pt idx="7">
                  <c:v>2026</c:v>
                </c:pt>
              </c:strCache>
            </c:strRef>
          </c:cat>
          <c:val>
            <c:numRef>
              <c:f>'Ad vs No-Ad'!$C$6:$C$13</c:f>
              <c:numCache>
                <c:formatCode>\$#,##0.00</c:formatCode>
                <c:ptCount val="8"/>
                <c:pt idx="0">
                  <c:v>9.24</c:v>
                </c:pt>
                <c:pt idx="1">
                  <c:v>10.49</c:v>
                </c:pt>
                <c:pt idx="2">
                  <c:v>10.5614285714286</c:v>
                </c:pt>
                <c:pt idx="3">
                  <c:v>11.9185714285714</c:v>
                </c:pt>
                <c:pt idx="4">
                  <c:v>13.9185714285714</c:v>
                </c:pt>
                <c:pt idx="5">
                  <c:v>14.9185714285714</c:v>
                </c:pt>
                <c:pt idx="6">
                  <c:v>16.7757142857143</c:v>
                </c:pt>
                <c:pt idx="7">
                  <c:v>17.2042857142857</c:v>
                </c:pt>
              </c:numCache>
            </c:numRef>
          </c:val>
          <c:smooth val="1"/>
        </c:ser>
        <c:ser>
          <c:idx val="1"/>
          <c:order val="1"/>
          <c:tx>
            <c:strRef>
              <c:f>'Ad vs No-Ad'!E5</c:f>
              <c:strCache>
                <c:ptCount val="1"/>
                <c:pt idx="0">
                  <c:v>Avg ad-tier $</c:v>
                </c:pt>
              </c:strCache>
            </c:strRef>
          </c:tx>
          <c:spPr>
            <a:solidFill>
              <a:srgbClr val="be4b48"/>
            </a:solidFill>
            <a:ln w="28440">
              <a:solidFill>
                <a:srgbClr val="be4b48"/>
              </a:solidFill>
              <a:round/>
            </a:ln>
          </c:spPr>
          <c:marker>
            <c:symbol val="none"/>
          </c:marker>
          <c:dLbls>
            <c:numFmt formatCode="\$0.00" sourceLinked="1"/>
            <c:txPr>
              <a:bodyPr wrap="square"/>
              <a:lstStyle/>
              <a:p>
                <a:pPr>
                  <a:defRPr b="0" sz="1000" spc="-1" strike="noStrike">
                    <a:solidFill>
                      <a:srgbClr val="000000"/>
                    </a:solidFill>
                    <a:latin typeface="Calibri"/>
                  </a:defRPr>
                </a:pPr>
              </a:p>
            </c:txPr>
            <c:dLblPos val="r"/>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'Ad vs No-Ad'!$B$6:$B$13</c:f>
              <c:strCache>
                <c:ptCount val="8"/>
                <c:pt idx="0">
                  <c:v>2019</c:v>
                </c:pt>
                <c:pt idx="1">
                  <c:v>2020</c:v>
                </c:pt>
                <c:pt idx="2">
                  <c:v>2021</c:v>
                </c:pt>
                <c:pt idx="3">
                  <c:v>2022</c:v>
                </c:pt>
                <c:pt idx="4">
                  <c:v>2023</c:v>
                </c:pt>
                <c:pt idx="5">
                  <c:v>2024</c:v>
                </c:pt>
                <c:pt idx="6">
                  <c:v>2025</c:v>
                </c:pt>
                <c:pt idx="7">
                  <c:v>2026</c:v>
                </c:pt>
              </c:strCache>
            </c:strRef>
          </c:cat>
          <c:val>
            <c:numRef>
              <c:f>'Ad vs No-Ad'!$E$6:$E$13</c:f>
              <c:numCache>
                <c:formatCode>\$#,##0.00</c:formatCode>
                <c:ptCount val="8"/>
                <c:pt idx="0">
                  <c:v>5.49</c:v>
                </c:pt>
                <c:pt idx="1">
                  <c:v>5.65666666666667</c:v>
                </c:pt>
                <c:pt idx="2">
                  <c:v>6.79</c:v>
                </c:pt>
                <c:pt idx="3">
                  <c:v>7.56142857142857</c:v>
                </c:pt>
                <c:pt idx="4">
                  <c:v>7.99</c:v>
                </c:pt>
                <c:pt idx="5">
                  <c:v>9.27571428571429</c:v>
                </c:pt>
                <c:pt idx="6">
                  <c:v>10.7042857142857</c:v>
                </c:pt>
                <c:pt idx="7">
                  <c:v>10.99</c:v>
                </c:pt>
              </c:numCache>
            </c:numRef>
          </c:val>
          <c:smooth val="1"/>
        </c:ser>
        <c:hiLowLines>
          <c:spPr>
            <a:ln w="0">
              <a:noFill/>
            </a:ln>
          </c:spPr>
        </c:hiLowLines>
        <c:marker val="0"/>
        <c:axId val="44041071"/>
        <c:axId val="33999785"/>
      </c:lineChart>
      <c:catAx>
        <c:axId val="4404107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33999785"/>
        <c:crosses val="autoZero"/>
        <c:auto val="1"/>
        <c:lblAlgn val="ctr"/>
        <c:lblOffset val="100"/>
        <c:noMultiLvlLbl val="0"/>
      </c:catAx>
      <c:valAx>
        <c:axId val="3399978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440410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Savings vs. sum of standalone prices (n=5)</a:t>
            </a:r>
          </a:p>
        </c:rich>
      </c:tx>
      <c:overlay val="0"/>
      <c:spPr>
        <a:noFill/>
        <a:ln w="0">
          <a:noFill/>
        </a:ln>
      </c:spPr>
    </c:title>
    <c:autoTitleDeleted val="0"/>
    <c:plotArea>
      <c:barChart>
        <c:barDir val="bar"/>
        <c:grouping val="clustered"/>
        <c:varyColors val="0"/>
        <c:ser>
          <c:idx val="0"/>
          <c:order val="0"/>
          <c:tx>
            <c:strRef>
              <c:f>Bundles!G5</c:f>
              <c:strCache>
                <c:ptCount val="1"/>
                <c:pt idx="0">
                  <c:v>Savings %</c:v>
                </c:pt>
              </c:strCache>
            </c:strRef>
          </c:tx>
          <c:spPr>
            <a:solidFill>
              <a:srgbClr val="4f81bd"/>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Bundles!$B$6:$B$10</c:f>
              <c:strCache>
                <c:ptCount val="5"/>
                <c:pt idx="0">
                  <c:v>Disney+ / Hulu / HBO Max</c:v>
                </c:pt>
                <c:pt idx="1">
                  <c:v>Apple TV / Peacock</c:v>
                </c:pt>
                <c:pt idx="2">
                  <c:v>Xfinity StreamSaver</c:v>
                </c:pt>
                <c:pt idx="3">
                  <c:v>Verizon myPlan: Netflix &amp; HBO Max</c:v>
                </c:pt>
                <c:pt idx="4">
                  <c:v>Verizon myPlan: Disney bundle</c:v>
                </c:pt>
              </c:strCache>
            </c:strRef>
          </c:cat>
          <c:val>
            <c:numRef>
              <c:f>Bundles!$G$6:$G$10</c:f>
              <c:numCache>
                <c:formatCode>0.0%</c:formatCode>
                <c:ptCount val="5"/>
                <c:pt idx="0">
                  <c:v>0.428367171861596</c:v>
                </c:pt>
                <c:pt idx="1">
                  <c:v>0.37489574645538</c:v>
                </c:pt>
                <c:pt idx="2">
                  <c:v>0.34697431432303</c:v>
                </c:pt>
                <c:pt idx="3">
                  <c:v>0.411071849234393</c:v>
                </c:pt>
                <c:pt idx="4">
                  <c:v>0.629217649239896</c:v>
                </c:pt>
              </c:numCache>
            </c:numRef>
          </c:val>
        </c:ser>
        <c:gapWidth val="70"/>
        <c:overlap val="0"/>
        <c:axId val="17577702"/>
        <c:axId val="51232174"/>
      </c:barChart>
      <c:catAx>
        <c:axId val="175777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51232174"/>
        <c:crosses val="autoZero"/>
        <c:auto val="1"/>
        <c:lblAlgn val="ctr"/>
        <c:lblOffset val="100"/>
        <c:noMultiLvlLbl val="0"/>
      </c:catAx>
      <c:valAx>
        <c:axId val="512321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175777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Documented price changes per year</a:t>
            </a:r>
          </a:p>
        </c:rich>
      </c:tx>
      <c:overlay val="0"/>
      <c:spPr>
        <a:noFill/>
        <a:ln w="0">
          <a:noFill/>
        </a:ln>
      </c:spPr>
    </c:title>
    <c:autoTitleDeleted val="0"/>
    <c:plotArea>
      <c:lineChart>
        <c:grouping val="standard"/>
        <c:varyColors val="0"/>
        <c:ser>
          <c:idx val="0"/>
          <c:order val="0"/>
          <c:tx>
            <c:strRef>
              <c:f>'Price Event Cadence'!C5</c:f>
              <c:strCache>
                <c:ptCount val="1"/>
                <c:pt idx="0">
                  <c:v># price changes</c:v>
                </c:pt>
              </c:strCache>
            </c:strRef>
          </c:tx>
          <c:spPr>
            <a:solidFill>
              <a:srgbClr val="4a7ebb"/>
            </a:solidFill>
            <a:ln w="28440">
              <a:solidFill>
                <a:srgbClr val="4a7ebb"/>
              </a:solidFill>
              <a:round/>
            </a:ln>
          </c:spPr>
          <c:marker>
            <c:symbol val="none"/>
          </c:marker>
          <c:dLbls>
            <c:numFmt formatCode="0" sourceLinked="1"/>
            <c:txPr>
              <a:bodyPr wrap="square"/>
              <a:lstStyle/>
              <a:p>
                <a:pPr>
                  <a:defRPr b="0" sz="1000" spc="-1" strike="noStrike">
                    <a:solidFill>
                      <a:srgbClr val="000000"/>
                    </a:solidFill>
                    <a:latin typeface="Calibri"/>
                  </a:defRPr>
                </a:pPr>
              </a:p>
            </c:txPr>
            <c:dLblPos val="r"/>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'Price Event Cadence'!$B$6:$B$12</c:f>
              <c:strCache>
                <c:ptCount val="7"/>
                <c:pt idx="0">
                  <c:v>2020</c:v>
                </c:pt>
                <c:pt idx="1">
                  <c:v>2021</c:v>
                </c:pt>
                <c:pt idx="2">
                  <c:v>2022</c:v>
                </c:pt>
                <c:pt idx="3">
                  <c:v>2023</c:v>
                </c:pt>
                <c:pt idx="4">
                  <c:v>2024</c:v>
                </c:pt>
                <c:pt idx="5">
                  <c:v>2025</c:v>
                </c:pt>
                <c:pt idx="6">
                  <c:v>2026</c:v>
                </c:pt>
              </c:strCache>
            </c:strRef>
          </c:cat>
          <c:val>
            <c:numRef>
              <c:f>'Price Event Cadence'!$C$6:$C$12</c:f>
              <c:numCache>
                <c:formatCode>0</c:formatCode>
                <c:ptCount val="7"/>
                <c:pt idx="0">
                  <c:v>3</c:v>
                </c:pt>
                <c:pt idx="1">
                  <c:v>3</c:v>
                </c:pt>
                <c:pt idx="2">
                  <c:v>7</c:v>
                </c:pt>
                <c:pt idx="3">
                  <c:v>10</c:v>
                </c:pt>
                <c:pt idx="4">
                  <c:v>10</c:v>
                </c:pt>
                <c:pt idx="5">
                  <c:v>12</c:v>
                </c:pt>
                <c:pt idx="6">
                  <c:v>5</c:v>
                </c:pt>
              </c:numCache>
            </c:numRef>
          </c:val>
          <c:smooth val="1"/>
        </c:ser>
        <c:hiLowLines>
          <c:spPr>
            <a:ln w="0">
              <a:noFill/>
            </a:ln>
          </c:spPr>
        </c:hiLowLines>
        <c:marker val="0"/>
        <c:axId val="99237233"/>
        <c:axId val="42046459"/>
      </c:lineChart>
      <c:catAx>
        <c:axId val="99237233"/>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42046459"/>
        <c:crosses val="autoZero"/>
        <c:auto val="1"/>
        <c:lblAlgn val="ctr"/>
        <c:lblOffset val="100"/>
        <c:noMultiLvlLbl val="0"/>
      </c:catAx>
      <c:valAx>
        <c:axId val="42046459"/>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100" spc="-1" strike="noStrike">
                <a:solidFill>
                  <a:srgbClr val="000000"/>
                </a:solidFill>
                <a:latin typeface="Calibri"/>
              </a:defRPr>
            </a:pPr>
          </a:p>
        </c:txPr>
        <c:crossAx val="992372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39</xdr:row>
      <xdr:rowOff>0</xdr:rowOff>
    </xdr:from>
    <xdr:to>
      <xdr:col>12</xdr:col>
      <xdr:colOff>407880</xdr:colOff>
      <xdr:row>65</xdr:row>
      <xdr:rowOff>86760</xdr:rowOff>
    </xdr:to>
    <xdr:graphicFrame>
      <xdr:nvGraphicFramePr>
        <xdr:cNvPr id="0" name="Chart 1"/>
        <xdr:cNvGraphicFramePr/>
      </xdr:nvGraphicFramePr>
      <xdr:xfrm>
        <a:off x="211320" y="8325000"/>
        <a:ext cx="935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13</xdr:col>
      <xdr:colOff>76320</xdr:colOff>
      <xdr:row>50</xdr:row>
      <xdr:rowOff>86760</xdr:rowOff>
    </xdr:to>
    <xdr:graphicFrame>
      <xdr:nvGraphicFramePr>
        <xdr:cNvPr id="1" name="Chart 1"/>
        <xdr:cNvGraphicFramePr/>
      </xdr:nvGraphicFramePr>
      <xdr:xfrm>
        <a:off x="211320" y="5124600"/>
        <a:ext cx="935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23</xdr:row>
      <xdr:rowOff>3960</xdr:rowOff>
    </xdr:from>
    <xdr:to>
      <xdr:col>11</xdr:col>
      <xdr:colOff>430920</xdr:colOff>
      <xdr:row>49</xdr:row>
      <xdr:rowOff>90720</xdr:rowOff>
    </xdr:to>
    <xdr:graphicFrame>
      <xdr:nvGraphicFramePr>
        <xdr:cNvPr id="2" name="Chart 1"/>
        <xdr:cNvGraphicFramePr/>
      </xdr:nvGraphicFramePr>
      <xdr:xfrm>
        <a:off x="211320" y="5124600"/>
        <a:ext cx="935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25</xdr:row>
      <xdr:rowOff>0</xdr:rowOff>
    </xdr:from>
    <xdr:to>
      <xdr:col>8</xdr:col>
      <xdr:colOff>1112760</xdr:colOff>
      <xdr:row>48</xdr:row>
      <xdr:rowOff>118440</xdr:rowOff>
    </xdr:to>
    <xdr:graphicFrame>
      <xdr:nvGraphicFramePr>
        <xdr:cNvPr id="3" name="Chart 1"/>
        <xdr:cNvGraphicFramePr/>
      </xdr:nvGraphicFramePr>
      <xdr:xfrm>
        <a:off x="211320" y="6267600"/>
        <a:ext cx="9359640" cy="44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23</xdr:row>
      <xdr:rowOff>0</xdr:rowOff>
    </xdr:from>
    <xdr:to>
      <xdr:col>8</xdr:col>
      <xdr:colOff>227160</xdr:colOff>
      <xdr:row>46</xdr:row>
      <xdr:rowOff>118080</xdr:rowOff>
    </xdr:to>
    <xdr:graphicFrame>
      <xdr:nvGraphicFramePr>
        <xdr:cNvPr id="4" name="Chart 1"/>
        <xdr:cNvGraphicFramePr/>
      </xdr:nvGraphicFramePr>
      <xdr:xfrm>
        <a:off x="211320" y="6067440"/>
        <a:ext cx="8639640" cy="44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variety.com/2023/digital/news/apple-tv-plus-increases-monthly-price-1235768060/" TargetMode="External"/><Relationship Id="rId2" Type="http://schemas.openxmlformats.org/officeDocument/2006/relationships/hyperlink" Target="https://variety.com/2023/digital/news/apple-tv-plus-increases-monthly-price-1235768060/" TargetMode="External"/><Relationship Id="rId3" Type="http://schemas.openxmlformats.org/officeDocument/2006/relationships/hyperlink" Target="https://www.cnbc.com/2023/10/25/apple-raises-price-of-apple-tv-to-9point99-a-month.html" TargetMode="External"/><Relationship Id="rId4" Type="http://schemas.openxmlformats.org/officeDocument/2006/relationships/hyperlink" Target="https://www.macrumors.com/2025/08/21/apple-tv-plus-price-increase-announced/" TargetMode="External"/><Relationship Id="rId5" Type="http://schemas.openxmlformats.org/officeDocument/2006/relationships/hyperlink" Target="https://variety.com/2022/digital/news/disney-plus-ads-launch-price-increase-hulu-1235338148/" TargetMode="External"/><Relationship Id="rId6" Type="http://schemas.openxmlformats.org/officeDocument/2006/relationships/hyperlink" Target="https://variety.com/2023/digital/news/disney-plus-price-increase-hulu-espn-plus-1235692057/" TargetMode="External"/><Relationship Id="rId7" Type="http://schemas.openxmlformats.org/officeDocument/2006/relationships/hyperlink" Target="https://variety.com/2025/digital/news/disney-plus-hulu-price-increases-october-2025-1236527241/" TargetMode="External"/><Relationship Id="rId8" Type="http://schemas.openxmlformats.org/officeDocument/2006/relationships/hyperlink" Target="https://variety.com/2023/digital/news/disney-plus-price-increase-hulu-espn-plus-1235692057/" TargetMode="External"/><Relationship Id="rId9" Type="http://schemas.openxmlformats.org/officeDocument/2006/relationships/hyperlink" Target="https://www.tvline.com/news/disney-plus-with-ads-price-launch-date-hulu-cost-increase-1234860250/" TargetMode="External"/><Relationship Id="rId10" Type="http://schemas.openxmlformats.org/officeDocument/2006/relationships/hyperlink" Target="https://variety.com/2022/digital/news/disney-plus-ads-launch-price-increase-hulu-1235338148/" TargetMode="External"/><Relationship Id="rId11" Type="http://schemas.openxmlformats.org/officeDocument/2006/relationships/hyperlink" Target="https://www.nbcnews.com/business/business-news/disney-raise-monthly-price-ad-free-disney-1399-rcna99126" TargetMode="External"/><Relationship Id="rId12" Type="http://schemas.openxmlformats.org/officeDocument/2006/relationships/hyperlink" Target="https://techcrunch.com/2025/09/23/disney-is-raising-the-price-of-disney-hulu-subscriptions-next-month/" TargetMode="External"/><Relationship Id="rId13" Type="http://schemas.openxmlformats.org/officeDocument/2006/relationships/hyperlink" Target="https://techcrunch.com/2025/09/23/disney-is-raising-the-price-of-disney-hulu-subscriptions-next-month/" TargetMode="External"/><Relationship Id="rId14" Type="http://schemas.openxmlformats.org/officeDocument/2006/relationships/hyperlink" Target="https://variety.com/2022/digital/news/disney-plus-ads-launch-price-increase-hulu-1235338148/" TargetMode="External"/><Relationship Id="rId15" Type="http://schemas.openxmlformats.org/officeDocument/2006/relationships/hyperlink" Target="https://variety.com/2022/digital/news/disney-plus-ads-launch-price-increase-hulu-1235338148/" TargetMode="External"/><Relationship Id="rId16" Type="http://schemas.openxmlformats.org/officeDocument/2006/relationships/hyperlink" Target="https://variety.com/2022/digital/news/disney-plus-ads-launch-price-increase-hulu-1235338148/" TargetMode="External"/><Relationship Id="rId17" Type="http://schemas.openxmlformats.org/officeDocument/2006/relationships/hyperlink" Target="https://variety.com/2022/digital/news/disney-plus-ads-launch-price-increase-hulu-1235338148/" TargetMode="External"/><Relationship Id="rId18" Type="http://schemas.openxmlformats.org/officeDocument/2006/relationships/hyperlink" Target="https://variety.com/2022/digital/news/disney-plus-ads-launch-price-increase-hulu-1235338148/" TargetMode="External"/><Relationship Id="rId19" Type="http://schemas.openxmlformats.org/officeDocument/2006/relationships/hyperlink" Target="https://variety.com/2023/digital/news/disney-plus-price-increase-hulu-espn-plus-1235692057/" TargetMode="External"/><Relationship Id="rId20" Type="http://schemas.openxmlformats.org/officeDocument/2006/relationships/hyperlink" Target="https://variety.com/2025/digital/news/disney-plus-hulu-price-increases-october-2025-1236527241/" TargetMode="External"/><Relationship Id="rId21" Type="http://schemas.openxmlformats.org/officeDocument/2006/relationships/hyperlink" Target="https://www.cnbc.com/2025/10/21/hbo-max-raising-prices-all-plans.html" TargetMode="External"/><Relationship Id="rId22" Type="http://schemas.openxmlformats.org/officeDocument/2006/relationships/hyperlink" Target="https://help.hbomax.com/US/Answer/Detail/000002580" TargetMode="External"/><Relationship Id="rId23" Type="http://schemas.openxmlformats.org/officeDocument/2006/relationships/hyperlink" Target="https://variety.com/2025/tv/news/hbo-max-prices-increases-plans-2025-1236557671/" TargetMode="External"/><Relationship Id="rId24" Type="http://schemas.openxmlformats.org/officeDocument/2006/relationships/hyperlink" Target="https://www.cnbc.com/2025/10/21/hbo-max-raising-prices-all-plans.html" TargetMode="External"/><Relationship Id="rId25" Type="http://schemas.openxmlformats.org/officeDocument/2006/relationships/hyperlink" Target="https://www.cnbc.com/2025/10/21/hbo-max-raising-prices-all-plans.html" TargetMode="External"/><Relationship Id="rId26" Type="http://schemas.openxmlformats.org/officeDocument/2006/relationships/hyperlink" Target="https://www.cnbc.com/2025/10/21/hbo-max-raising-prices-all-plans.html" TargetMode="External"/><Relationship Id="rId27" Type="http://schemas.openxmlformats.org/officeDocument/2006/relationships/hyperlink" Target="https://www.cnbc.com/2025/10/21/hbo-max-raising-prices-all-plans.html" TargetMode="External"/><Relationship Id="rId28" Type="http://schemas.openxmlformats.org/officeDocument/2006/relationships/hyperlink" Target="https://streamingpricetracker.com/history/" TargetMode="External"/><Relationship Id="rId29" Type="http://schemas.openxmlformats.org/officeDocument/2006/relationships/hyperlink" Target="https://variety.com/2022/digital/news/disney-plus-ads-launch-price-increase-hulu-1235338148/" TargetMode="External"/><Relationship Id="rId30" Type="http://schemas.openxmlformats.org/officeDocument/2006/relationships/hyperlink" Target="https://www.nbcnews.com/business/business-news/disney-raise-monthly-price-ad-free-disney-1399-rcna99126" TargetMode="External"/><Relationship Id="rId31" Type="http://schemas.openxmlformats.org/officeDocument/2006/relationships/hyperlink" Target="https://variety.com/2025/digital/news/disney-plus-hulu-price-increases-october-2025-1236527241/" TargetMode="External"/><Relationship Id="rId32" Type="http://schemas.openxmlformats.org/officeDocument/2006/relationships/hyperlink" Target="https://streamingpricetracker.com/history/" TargetMode="External"/><Relationship Id="rId33" Type="http://schemas.openxmlformats.org/officeDocument/2006/relationships/hyperlink" Target="https://www.tvline.com/news/disney-plus-with-ads-price-launch-date-hulu-cost-increase-1234860250/" TargetMode="External"/><Relationship Id="rId34" Type="http://schemas.openxmlformats.org/officeDocument/2006/relationships/hyperlink" Target="https://variety.com/2022/digital/news/disney-plus-ads-launch-price-increase-hulu-1235338148/" TargetMode="External"/><Relationship Id="rId35" Type="http://schemas.openxmlformats.org/officeDocument/2006/relationships/hyperlink" Target="https://variety.com/2023/digital/news/disney-plus-price-increase-hulu-espn-plus-1235692057/" TargetMode="External"/><Relationship Id="rId36" Type="http://schemas.openxmlformats.org/officeDocument/2006/relationships/hyperlink" Target="https://techcrunch.com/2025/09/23/disney-is-raising-the-price-of-disney-hulu-subscriptions-next-month/" TargetMode="External"/><Relationship Id="rId37" Type="http://schemas.openxmlformats.org/officeDocument/2006/relationships/hyperlink" Target="https://www.androidauthority.com/timeline-netflix-price-hikes-3463376/" TargetMode="External"/><Relationship Id="rId38" Type="http://schemas.openxmlformats.org/officeDocument/2006/relationships/hyperlink" Target="https://www.androidauthority.com/timeline-netflix-price-hikes-3463376/" TargetMode="External"/><Relationship Id="rId39" Type="http://schemas.openxmlformats.org/officeDocument/2006/relationships/hyperlink" Target="https://www.aol.com/news/netflix-raises-prices-u-plans-225007861.html" TargetMode="External"/><Relationship Id="rId40" Type="http://schemas.openxmlformats.org/officeDocument/2006/relationships/hyperlink" Target="https://m.gsmarena.com/netflix_raises_prices_yet_again_after_squid_game_2_success-news-66199.php" TargetMode="External"/><Relationship Id="rId41" Type="http://schemas.openxmlformats.org/officeDocument/2006/relationships/hyperlink" Target="https://www.nbcnews.com/business/consumer/netflix-hike-prices-standard-ad-supported-streaming-plans-rcna188716" TargetMode="External"/><Relationship Id="rId42" Type="http://schemas.openxmlformats.org/officeDocument/2006/relationships/hyperlink" Target="https://variety.com/2026/tv/news/netflix-raising-prices-second-time-in-a-year-1236700999/" TargetMode="External"/><Relationship Id="rId43" Type="http://schemas.openxmlformats.org/officeDocument/2006/relationships/hyperlink" Target="https://www.androidauthority.com/timeline-netflix-price-hikes-3463376/" TargetMode="External"/><Relationship Id="rId44" Type="http://schemas.openxmlformats.org/officeDocument/2006/relationships/hyperlink" Target="https://www.androidauthority.com/timeline-netflix-price-hikes-3463376/" TargetMode="External"/><Relationship Id="rId45" Type="http://schemas.openxmlformats.org/officeDocument/2006/relationships/hyperlink" Target="https://www.aol.com/news/netflix-raises-prices-u-plans-225007861.html" TargetMode="External"/><Relationship Id="rId46" Type="http://schemas.openxmlformats.org/officeDocument/2006/relationships/hyperlink" Target="https://www.nbcnews.com/business/consumer/netflix-hike-prices-standard-ad-supported-streaming-plans-rcna188716" TargetMode="External"/><Relationship Id="rId47" Type="http://schemas.openxmlformats.org/officeDocument/2006/relationships/hyperlink" Target="https://www.cnbc.com/2026/03/26/netflix-raises-prices-across-all-streaming-plans.html" TargetMode="External"/><Relationship Id="rId48" Type="http://schemas.openxmlformats.org/officeDocument/2006/relationships/hyperlink" Target="https://m.gsmarena.com/netflix_raises_prices_yet_again_after_squid_game_2_success-news-66199.php" TargetMode="External"/><Relationship Id="rId49" Type="http://schemas.openxmlformats.org/officeDocument/2006/relationships/hyperlink" Target="https://www.nbcnews.com/business/consumer/netflix-hike-prices-standard-ad-supported-streaming-plans-rcna188716" TargetMode="External"/><Relationship Id="rId50" Type="http://schemas.openxmlformats.org/officeDocument/2006/relationships/hyperlink" Target="https://www.cnbc.com/2026/03/26/netflix-raises-prices-across-all-streaming-plans.html" TargetMode="External"/><Relationship Id="rId51" Type="http://schemas.openxmlformats.org/officeDocument/2006/relationships/hyperlink" Target="https://techcrunch.com/2021/02/24/paramount-will-cost-4-99-per-month-with-ads/amp" TargetMode="External"/><Relationship Id="rId52" Type="http://schemas.openxmlformats.org/officeDocument/2006/relationships/hyperlink" Target="https://variety.com/2025/tv/news/paramount-to-hike-prices-in-early-2026-1236574467/" TargetMode="External"/><Relationship Id="rId53" Type="http://schemas.openxmlformats.org/officeDocument/2006/relationships/hyperlink" Target="https://variety.com/2025/tv/news/paramount-to-hike-prices-in-early-2026-1236574467/" TargetMode="External"/><Relationship Id="rId54" Type="http://schemas.openxmlformats.org/officeDocument/2006/relationships/hyperlink" Target="https://variety.com/2025/tv/news/paramount-to-hike-prices-in-early-2026-1236574467/" TargetMode="External"/><Relationship Id="rId55" Type="http://schemas.openxmlformats.org/officeDocument/2006/relationships/hyperlink" Target="https://variety.com/2021/digital/news/paramount-plus-content-lineup-price-availability-1234914434/" TargetMode="External"/><Relationship Id="rId56" Type="http://schemas.openxmlformats.org/officeDocument/2006/relationships/hyperlink" Target="https://variety.com/2025/tv/news/paramount-to-hike-prices-in-early-2026-1236574467/" TargetMode="External"/><Relationship Id="rId57" Type="http://schemas.openxmlformats.org/officeDocument/2006/relationships/hyperlink" Target="https://variety.com/2025/tv/news/paramount-to-hike-prices-in-early-2026-1236574467/" TargetMode="External"/><Relationship Id="rId58" Type="http://schemas.openxmlformats.org/officeDocument/2006/relationships/hyperlink" Target="https://variety.com/2025/tv/news/paramount-to-hike-prices-in-early-2026-1236574467/" TargetMode="External"/><Relationship Id="rId59" Type="http://schemas.openxmlformats.org/officeDocument/2006/relationships/hyperlink" Target="https://corporate.comcast.com/press/releases/peacock-launches-nationally-july-15-free-and-premium-tiers" TargetMode="External"/><Relationship Id="rId60" Type="http://schemas.openxmlformats.org/officeDocument/2006/relationships/hyperlink" Target="https://www.aol.com/entertainment/nbcuniversal-peacock-hiking-prices-3-182638817.html" TargetMode="External"/><Relationship Id="rId61" Type="http://schemas.openxmlformats.org/officeDocument/2006/relationships/hyperlink" Target="https://www.aol.com/entertainment/peacock-hiking-prices-second-time-163000678.html" TargetMode="External"/><Relationship Id="rId62" Type="http://schemas.openxmlformats.org/officeDocument/2006/relationships/hyperlink" Target="https://www.aol.com/entertainment/nbcuniversal-peacock-hiking-prices-3-182638817.html" TargetMode="External"/><Relationship Id="rId63" Type="http://schemas.openxmlformats.org/officeDocument/2006/relationships/hyperlink" Target="https://corporate.comcast.com/press/releases/peacock-launches-nationally-july-15-free-and-premium-tiers" TargetMode="External"/><Relationship Id="rId64" Type="http://schemas.openxmlformats.org/officeDocument/2006/relationships/hyperlink" Target="https://www.aol.com/entertainment/nbcuniversal-peacock-hiking-prices-3-182638817.html" TargetMode="External"/><Relationship Id="rId65" Type="http://schemas.openxmlformats.org/officeDocument/2006/relationships/hyperlink" Target="https://www.aol.com/entertainment/peacock-hiking-prices-second-time-163000678.html" TargetMode="External"/><Relationship Id="rId66" Type="http://schemas.openxmlformats.org/officeDocument/2006/relationships/hyperlink" Target="https://www.aol.com/entertainment/nbcuniversal-peacock-hiking-prices-3-182638817.html" TargetMode="External"/><Relationship Id="rId67" Type="http://schemas.openxmlformats.org/officeDocument/2006/relationships/hyperlink" Target="https://www.aol.com/entertainment/nbcuniversal-peacock-hiking-prices-3-182638817.html"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22"/>
    <col collapsed="false" customWidth="true" hidden="false" outlineLevel="0" max="6" min="4" style="0" width="18"/>
    <col collapsed="false" customWidth="true" hidden="false" outlineLevel="0" max="7" min="7" style="0" width="3"/>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5" t="s">
        <v>4</v>
      </c>
    </row>
    <row r="9" customFormat="false" ht="15" hidden="false" customHeight="false" outlineLevel="0" collapsed="false">
      <c r="B9" s="6" t="s">
        <v>5</v>
      </c>
      <c r="C9" s="6"/>
      <c r="D9" s="6"/>
      <c r="E9" s="6"/>
      <c r="F9" s="6"/>
    </row>
    <row r="10" customFormat="false" ht="15" hidden="false" customHeight="true" outlineLevel="0" collapsed="false">
      <c r="B10" s="7" t="s">
        <v>6</v>
      </c>
      <c r="C10" s="7"/>
      <c r="D10" s="7"/>
      <c r="E10" s="7"/>
      <c r="F10" s="7"/>
    </row>
    <row r="11" customFormat="false" ht="15" hidden="false" customHeight="false" outlineLevel="0" collapsed="false">
      <c r="B11" s="7"/>
      <c r="C11" s="7"/>
      <c r="D11" s="7"/>
      <c r="E11" s="7"/>
      <c r="F11" s="7"/>
    </row>
    <row r="12" customFormat="false" ht="15" hidden="false" customHeight="false" outlineLevel="0" collapsed="false">
      <c r="B12" s="7"/>
      <c r="C12" s="7"/>
      <c r="D12" s="7"/>
      <c r="E12" s="7"/>
      <c r="F12" s="7"/>
    </row>
    <row r="13" customFormat="false" ht="15" hidden="false" customHeight="false" outlineLevel="0" collapsed="false">
      <c r="B13" s="8" t="s">
        <v>7</v>
      </c>
      <c r="C13" s="6" t="s">
        <v>8</v>
      </c>
      <c r="D13" s="6"/>
      <c r="E13" s="6"/>
      <c r="F13" s="6"/>
    </row>
    <row r="14" customFormat="false" ht="24" hidden="false" customHeight="true" outlineLevel="0" collapsed="false">
      <c r="B14" s="9" t="s">
        <v>9</v>
      </c>
      <c r="C14" s="10" t="s">
        <v>10</v>
      </c>
      <c r="D14" s="10"/>
      <c r="E14" s="10"/>
      <c r="F14" s="10"/>
    </row>
    <row r="15" customFormat="false" ht="24" hidden="false" customHeight="true" outlineLevel="0" collapsed="false">
      <c r="B15" s="9" t="s">
        <v>11</v>
      </c>
      <c r="C15" s="10" t="s">
        <v>12</v>
      </c>
      <c r="D15" s="10"/>
      <c r="E15" s="10"/>
      <c r="F15" s="10"/>
    </row>
    <row r="16" customFormat="false" ht="24" hidden="false" customHeight="true" outlineLevel="0" collapsed="false">
      <c r="B16" s="9" t="s">
        <v>13</v>
      </c>
      <c r="C16" s="10" t="s">
        <v>14</v>
      </c>
      <c r="D16" s="10"/>
      <c r="E16" s="10"/>
      <c r="F16" s="10"/>
    </row>
    <row r="17" customFormat="false" ht="24" hidden="false" customHeight="true" outlineLevel="0" collapsed="false">
      <c r="B17" s="9" t="s">
        <v>15</v>
      </c>
      <c r="C17" s="10" t="s">
        <v>16</v>
      </c>
      <c r="D17" s="10"/>
      <c r="E17" s="10"/>
      <c r="F17" s="10"/>
    </row>
    <row r="18" customFormat="false" ht="24" hidden="false" customHeight="true" outlineLevel="0" collapsed="false">
      <c r="B18" s="9" t="s">
        <v>17</v>
      </c>
      <c r="C18" s="10" t="s">
        <v>18</v>
      </c>
      <c r="D18" s="10"/>
      <c r="E18" s="10"/>
      <c r="F18" s="10"/>
    </row>
    <row r="19" customFormat="false" ht="24" hidden="false" customHeight="true" outlineLevel="0" collapsed="false">
      <c r="B19" s="9" t="s">
        <v>19</v>
      </c>
      <c r="C19" s="10" t="s">
        <v>20</v>
      </c>
      <c r="D19" s="10"/>
      <c r="E19" s="10"/>
      <c r="F19" s="10"/>
    </row>
    <row r="20" customFormat="false" ht="24" hidden="false" customHeight="true" outlineLevel="0" collapsed="false">
      <c r="B20" s="9" t="s">
        <v>21</v>
      </c>
      <c r="C20" s="10" t="s">
        <v>22</v>
      </c>
      <c r="D20" s="10"/>
      <c r="E20" s="10"/>
      <c r="F20" s="10"/>
    </row>
    <row r="21" customFormat="false" ht="24" hidden="false" customHeight="true" outlineLevel="0" collapsed="false">
      <c r="B21" s="9" t="s">
        <v>23</v>
      </c>
      <c r="C21" s="10" t="s">
        <v>24</v>
      </c>
      <c r="D21" s="10"/>
      <c r="E21" s="10"/>
      <c r="F21" s="10"/>
    </row>
    <row r="22" customFormat="false" ht="24" hidden="false" customHeight="true" outlineLevel="0" collapsed="false">
      <c r="B22" s="9" t="s">
        <v>25</v>
      </c>
      <c r="C22" s="10" t="s">
        <v>26</v>
      </c>
      <c r="D22" s="10"/>
      <c r="E22" s="10"/>
      <c r="F22" s="10"/>
    </row>
    <row r="23" customFormat="false" ht="24" hidden="false" customHeight="true" outlineLevel="0" collapsed="false">
      <c r="B23" s="9" t="s">
        <v>27</v>
      </c>
      <c r="C23" s="10" t="s">
        <v>28</v>
      </c>
      <c r="D23" s="10"/>
      <c r="E23" s="10"/>
      <c r="F23" s="10"/>
    </row>
    <row r="25" customFormat="false" ht="15" hidden="false" customHeight="false" outlineLevel="0" collapsed="false">
      <c r="B25" s="6" t="s">
        <v>29</v>
      </c>
      <c r="C25" s="6"/>
      <c r="D25" s="6"/>
      <c r="E25" s="6"/>
      <c r="F25" s="6"/>
    </row>
    <row r="26" customFormat="false" ht="25.5" hidden="false" customHeight="true" outlineLevel="0" collapsed="false">
      <c r="B26" s="11" t="s">
        <v>30</v>
      </c>
      <c r="C26" s="7" t="s">
        <v>31</v>
      </c>
      <c r="D26" s="7"/>
      <c r="E26" s="7"/>
      <c r="F26" s="7"/>
    </row>
    <row r="27" customFormat="false" ht="25.5" hidden="false" customHeight="true" outlineLevel="0" collapsed="false">
      <c r="B27" s="11" t="s">
        <v>30</v>
      </c>
      <c r="C27" s="7" t="s">
        <v>32</v>
      </c>
      <c r="D27" s="7"/>
      <c r="E27" s="7"/>
      <c r="F27" s="7"/>
    </row>
    <row r="28" customFormat="false" ht="25.5" hidden="false" customHeight="true" outlineLevel="0" collapsed="false">
      <c r="B28" s="11" t="s">
        <v>30</v>
      </c>
      <c r="C28" s="7" t="s">
        <v>33</v>
      </c>
      <c r="D28" s="7"/>
      <c r="E28" s="7"/>
      <c r="F28" s="7"/>
    </row>
    <row r="29" customFormat="false" ht="25.5" hidden="false" customHeight="true" outlineLevel="0" collapsed="false">
      <c r="B29" s="11" t="s">
        <v>30</v>
      </c>
      <c r="C29" s="7" t="s">
        <v>34</v>
      </c>
      <c r="D29" s="7"/>
      <c r="E29" s="7"/>
      <c r="F29" s="7"/>
    </row>
    <row r="30" customFormat="false" ht="25.5" hidden="false" customHeight="true" outlineLevel="0" collapsed="false">
      <c r="B30" s="11" t="s">
        <v>30</v>
      </c>
      <c r="C30" s="7" t="s">
        <v>35</v>
      </c>
      <c r="D30" s="7"/>
      <c r="E30" s="7"/>
      <c r="F30" s="7"/>
    </row>
    <row r="31" customFormat="false" ht="25.5" hidden="false" customHeight="true" outlineLevel="0" collapsed="false">
      <c r="B31" s="11" t="s">
        <v>30</v>
      </c>
      <c r="C31" s="7" t="s">
        <v>36</v>
      </c>
      <c r="D31" s="7"/>
      <c r="E31" s="7"/>
      <c r="F31" s="7"/>
    </row>
    <row r="32" customFormat="false" ht="25.5" hidden="false" customHeight="true" outlineLevel="0" collapsed="false">
      <c r="B32" s="11" t="s">
        <v>30</v>
      </c>
      <c r="C32" s="7" t="s">
        <v>37</v>
      </c>
      <c r="D32" s="7"/>
      <c r="E32" s="7"/>
      <c r="F32" s="7"/>
    </row>
    <row r="33" customFormat="false" ht="25.5" hidden="false" customHeight="true" outlineLevel="0" collapsed="false">
      <c r="B33" s="11" t="s">
        <v>30</v>
      </c>
      <c r="C33" s="7" t="s">
        <v>38</v>
      </c>
      <c r="D33" s="7"/>
      <c r="E33" s="7"/>
      <c r="F33" s="7"/>
    </row>
  </sheetData>
  <mergeCells count="22">
    <mergeCell ref="B9:F9"/>
    <mergeCell ref="B10:F12"/>
    <mergeCell ref="C13:F13"/>
    <mergeCell ref="C14:F14"/>
    <mergeCell ref="C15:F15"/>
    <mergeCell ref="C16:F16"/>
    <mergeCell ref="C17:F17"/>
    <mergeCell ref="C18:F18"/>
    <mergeCell ref="C19:F19"/>
    <mergeCell ref="C20:F20"/>
    <mergeCell ref="C21:F21"/>
    <mergeCell ref="C22:F22"/>
    <mergeCell ref="C23:F23"/>
    <mergeCell ref="B25:F25"/>
    <mergeCell ref="C26:F26"/>
    <mergeCell ref="C27:F27"/>
    <mergeCell ref="C28:F28"/>
    <mergeCell ref="C29:F29"/>
    <mergeCell ref="C30:F30"/>
    <mergeCell ref="C31:F31"/>
    <mergeCell ref="C32:F32"/>
    <mergeCell ref="C33:F33"/>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6" min="3" style="0" width="15"/>
  </cols>
  <sheetData>
    <row r="2" customFormat="false" ht="25.5" hidden="false" customHeight="true" outlineLevel="0" collapsed="false">
      <c r="B2" s="12" t="s">
        <v>39</v>
      </c>
      <c r="C2" s="12"/>
      <c r="D2" s="12"/>
      <c r="E2" s="12"/>
      <c r="F2" s="12"/>
    </row>
    <row r="3" customFormat="false" ht="31.5" hidden="false" customHeight="true" outlineLevel="0" collapsed="false">
      <c r="B3" s="13" t="s">
        <v>40</v>
      </c>
      <c r="C3" s="13"/>
      <c r="D3" s="13"/>
      <c r="E3" s="13"/>
      <c r="F3" s="13"/>
    </row>
    <row r="5" customFormat="false" ht="31.5" hidden="false" customHeight="true" outlineLevel="0" collapsed="false">
      <c r="B5" s="14" t="s">
        <v>41</v>
      </c>
      <c r="C5" s="14" t="s">
        <v>42</v>
      </c>
      <c r="D5" s="14" t="s">
        <v>43</v>
      </c>
      <c r="E5" s="14" t="s">
        <v>44</v>
      </c>
    </row>
    <row r="6" customFormat="false" ht="30" hidden="false" customHeight="true" outlineLevel="0" collapsed="false">
      <c r="B6" s="15" t="n">
        <f aca="false">'Price Analysis'!G29</f>
        <v>0.111527900421564</v>
      </c>
      <c r="C6" s="15" t="n">
        <f aca="false">'Price Analysis'!G31</f>
        <v>0.0371221154206298</v>
      </c>
      <c r="D6" s="15" t="n">
        <f aca="false">'Real vs Nominal'!I14</f>
        <v>0.481317698336323</v>
      </c>
      <c r="E6" s="16" t="n">
        <f aca="false">COUNTA('Price History'!B6:B72)</f>
        <v>67</v>
      </c>
    </row>
    <row r="7" customFormat="false" ht="15" hidden="false" customHeight="false" outlineLevel="0" collapsed="false">
      <c r="B7" s="17" t="str">
        <f aca="false">"All prices as of "&amp;TEXT('Price Analysis'!$C$4,"dd mmm yyyy")&amp;". Median CAGR over the same window is "&amp;TEXT('Price Analysis'!G30,"0.0%")&amp;", across "&amp;COUNTA('Price Analysis'!B7:B14)&amp;" services."</f>
        <v>All prices as of 29 Jul 2026. Median CAGR over the same window is 8.7%, across 8 services.</v>
      </c>
      <c r="C7" s="17"/>
      <c r="D7" s="17"/>
      <c r="E7" s="17"/>
      <c r="F7" s="17"/>
    </row>
    <row r="9" customFormat="false" ht="15" hidden="false" customHeight="false" outlineLevel="0" collapsed="false">
      <c r="B9" s="3" t="s">
        <v>45</v>
      </c>
    </row>
    <row r="10" customFormat="false" ht="31.5" hidden="false" customHeight="true" outlineLevel="0" collapsed="false">
      <c r="B10" s="18" t="s">
        <v>46</v>
      </c>
      <c r="C10" s="18" t="s">
        <v>47</v>
      </c>
      <c r="D10" s="18" t="s">
        <v>48</v>
      </c>
      <c r="E10" s="18" t="s">
        <v>49</v>
      </c>
      <c r="F10" s="18" t="s">
        <v>50</v>
      </c>
    </row>
    <row r="11" customFormat="false" ht="15" hidden="false" customHeight="false" outlineLevel="0" collapsed="false">
      <c r="B11" s="19" t="str">
        <f aca="false">'Price Analysis'!B7</f>
        <v>Netflix</v>
      </c>
      <c r="C11" s="20" t="n">
        <f aca="false">'Price Analysis'!D7</f>
        <v>43480</v>
      </c>
      <c r="D11" s="21" t="n">
        <f aca="false">'Price Analysis'!H7</f>
        <v>0.538876058506543</v>
      </c>
      <c r="E11" s="21" t="n">
        <f aca="false">'Price Analysis'!I7</f>
        <v>0.0588781280235087</v>
      </c>
      <c r="F11" s="22" t="n">
        <f aca="false">'Real vs Nominal'!I6</f>
        <v>0.180037302008421</v>
      </c>
    </row>
    <row r="12" customFormat="false" ht="15" hidden="false" customHeight="false" outlineLevel="0" collapsed="false">
      <c r="B12" s="19" t="str">
        <f aca="false">'Price Analysis'!B8</f>
        <v>Disney+</v>
      </c>
      <c r="C12" s="20" t="n">
        <f aca="false">'Price Analysis'!D8</f>
        <v>43781</v>
      </c>
      <c r="D12" s="21" t="n">
        <f aca="false">'Price Analysis'!H8</f>
        <v>1.71673819742489</v>
      </c>
      <c r="E12" s="21" t="n">
        <f aca="false">'Price Analysis'!I8</f>
        <v>0.160598893435575</v>
      </c>
      <c r="F12" s="22" t="n">
        <f aca="false">'Real vs Nominal'!I7</f>
        <v>1.08324276346447</v>
      </c>
    </row>
    <row r="13" customFormat="false" ht="15" hidden="false" customHeight="false" outlineLevel="0" collapsed="false">
      <c r="B13" s="19" t="str">
        <f aca="false">'Price Analysis'!B9</f>
        <v>Hulu</v>
      </c>
      <c r="C13" s="20" t="n">
        <f aca="false">'Price Analysis'!D9</f>
        <v>43466</v>
      </c>
      <c r="D13" s="21" t="n">
        <f aca="false">'Price Analysis'!H9</f>
        <v>0.583819849874896</v>
      </c>
      <c r="E13" s="21" t="n">
        <f aca="false">'Price Analysis'!I9</f>
        <v>0.0626032180172844</v>
      </c>
      <c r="F13" s="22" t="n">
        <f aca="false">'Real vs Nominal'!I8</f>
        <v>0.214500993879623</v>
      </c>
    </row>
    <row r="14" customFormat="false" ht="15" hidden="false" customHeight="false" outlineLevel="0" collapsed="false">
      <c r="B14" s="19" t="str">
        <f aca="false">'Price Analysis'!B10</f>
        <v>HBO Max</v>
      </c>
      <c r="C14" s="20" t="n">
        <f aca="false">'Price Analysis'!D10</f>
        <v>43978</v>
      </c>
      <c r="D14" s="21" t="n">
        <f aca="false">'Price Analysis'!H10</f>
        <v>0.233488992661774</v>
      </c>
      <c r="E14" s="21" t="n">
        <f aca="false">'Price Analysis'!I10</f>
        <v>0.0345928751110114</v>
      </c>
      <c r="F14" s="22" t="n">
        <f aca="false">'Real vs Nominal'!I9</f>
        <v>-0.0424699469712463</v>
      </c>
    </row>
    <row r="15" customFormat="false" ht="15" hidden="false" customHeight="false" outlineLevel="0" collapsed="false">
      <c r="B15" s="19" t="str">
        <f aca="false">'Price Analysis'!B11</f>
        <v>Peacock</v>
      </c>
      <c r="C15" s="20" t="n">
        <f aca="false">'Price Analysis'!D11</f>
        <v>44027</v>
      </c>
      <c r="D15" s="21" t="n">
        <f aca="false">'Price Analysis'!H11</f>
        <v>0.700700700700701</v>
      </c>
      <c r="E15" s="21" t="n">
        <f aca="false">'Price Analysis'!I11</f>
        <v>0.0919591270411417</v>
      </c>
      <c r="F15" s="22" t="n">
        <f aca="false">'Real vs Nominal'!I10</f>
        <v>0.320216103926362</v>
      </c>
    </row>
    <row r="16" customFormat="false" ht="15" hidden="false" customHeight="false" outlineLevel="0" collapsed="false">
      <c r="B16" s="19" t="str">
        <f aca="false">'Price Analysis'!B12</f>
        <v>Paramount+</v>
      </c>
      <c r="C16" s="20" t="n">
        <f aca="false">'Price Analysis'!D12</f>
        <v>44259</v>
      </c>
      <c r="D16" s="21" t="n">
        <f aca="false">'Price Analysis'!H12</f>
        <v>0.400400400400401</v>
      </c>
      <c r="E16" s="21" t="n">
        <f aca="false">'Price Analysis'!I12</f>
        <v>0.0643112326837456</v>
      </c>
      <c r="F16" s="22" t="n">
        <f aca="false">'Real vs Nominal'!I11</f>
        <v>0.138171855118466</v>
      </c>
    </row>
    <row r="17" customFormat="false" ht="15" hidden="false" customHeight="false" outlineLevel="0" collapsed="false">
      <c r="B17" s="19" t="str">
        <f aca="false">'Price Analysis'!B13</f>
        <v>Apple TV</v>
      </c>
      <c r="C17" s="20" t="n">
        <f aca="false">'Price Analysis'!D13</f>
        <v>43770</v>
      </c>
      <c r="D17" s="21" t="n">
        <f aca="false">'Price Analysis'!H13</f>
        <v>1.60320641282565</v>
      </c>
      <c r="E17" s="21" t="n">
        <f aca="false">'Price Analysis'!I13</f>
        <v>0.152504891927141</v>
      </c>
      <c r="F17" s="22" t="n">
        <f aca="false">'Real vs Nominal'!I12</f>
        <v>0.996184588733556</v>
      </c>
    </row>
    <row r="18" customFormat="false" ht="15" hidden="false" customHeight="false" outlineLevel="0" collapsed="false">
      <c r="B18" s="19" t="str">
        <f aca="false">'Price Analysis'!B14</f>
        <v>ESPN Select</v>
      </c>
      <c r="C18" s="20" t="n">
        <f aca="false">'Price Analysis'!D14</f>
        <v>43202</v>
      </c>
      <c r="D18" s="21" t="n">
        <f aca="false">'Price Analysis'!H14</f>
        <v>1.60320641282565</v>
      </c>
      <c r="E18" s="21" t="n">
        <f aca="false">'Price Analysis'!I14</f>
        <v>0.122234176347874</v>
      </c>
      <c r="F18" s="22" t="n">
        <f aca="false">'Real vs Nominal'!I13</f>
        <v>0.960657926530927</v>
      </c>
    </row>
    <row r="20" customFormat="false" ht="15" hidden="false" customHeight="false" outlineLevel="0" collapsed="false">
      <c r="B20" s="3" t="s">
        <v>51</v>
      </c>
    </row>
    <row r="21" customFormat="false" ht="19.5" hidden="false" customHeight="true" outlineLevel="0" collapsed="false">
      <c r="B21" s="23" t="s">
        <v>52</v>
      </c>
      <c r="C21" s="7" t="s">
        <v>53</v>
      </c>
      <c r="D21" s="7"/>
      <c r="E21" s="7"/>
      <c r="F21" s="7"/>
    </row>
    <row r="22" customFormat="false" ht="19.5" hidden="false" customHeight="true" outlineLevel="0" collapsed="false">
      <c r="C22" s="7"/>
      <c r="D22" s="7"/>
      <c r="E22" s="7"/>
      <c r="F22" s="7"/>
    </row>
    <row r="23" customFormat="false" ht="19.5" hidden="false" customHeight="true" outlineLevel="0" collapsed="false">
      <c r="B23" s="23" t="s">
        <v>54</v>
      </c>
      <c r="C23" s="7" t="s">
        <v>55</v>
      </c>
      <c r="D23" s="7"/>
      <c r="E23" s="7"/>
      <c r="F23" s="7"/>
    </row>
    <row r="24" customFormat="false" ht="19.5" hidden="false" customHeight="true" outlineLevel="0" collapsed="false">
      <c r="C24" s="7"/>
      <c r="D24" s="7"/>
      <c r="E24" s="7"/>
      <c r="F24" s="7"/>
    </row>
    <row r="25" customFormat="false" ht="19.5" hidden="false" customHeight="true" outlineLevel="0" collapsed="false">
      <c r="B25" s="23" t="s">
        <v>56</v>
      </c>
      <c r="C25" s="7" t="s">
        <v>57</v>
      </c>
      <c r="D25" s="7"/>
      <c r="E25" s="7"/>
      <c r="F25" s="7"/>
    </row>
    <row r="26" customFormat="false" ht="19.5" hidden="false" customHeight="true" outlineLevel="0" collapsed="false">
      <c r="C26" s="7"/>
      <c r="D26" s="7"/>
      <c r="E26" s="7"/>
      <c r="F26" s="7"/>
    </row>
    <row r="27" customFormat="false" ht="19.5" hidden="false" customHeight="true" outlineLevel="0" collapsed="false">
      <c r="B27" s="23" t="s">
        <v>58</v>
      </c>
      <c r="C27" s="7" t="s">
        <v>59</v>
      </c>
      <c r="D27" s="7"/>
      <c r="E27" s="7"/>
      <c r="F27" s="7"/>
    </row>
    <row r="28" customFormat="false" ht="19.5" hidden="false" customHeight="true" outlineLevel="0" collapsed="false">
      <c r="C28" s="7"/>
      <c r="D28" s="7"/>
      <c r="E28" s="7"/>
      <c r="F28" s="7"/>
    </row>
    <row r="29" customFormat="false" ht="19.5" hidden="false" customHeight="true" outlineLevel="0" collapsed="false">
      <c r="B29" s="23" t="s">
        <v>60</v>
      </c>
      <c r="C29" s="7" t="s">
        <v>61</v>
      </c>
      <c r="D29" s="7"/>
      <c r="E29" s="7"/>
      <c r="F29" s="7"/>
    </row>
    <row r="30" customFormat="false" ht="19.5" hidden="false" customHeight="true" outlineLevel="0" collapsed="false">
      <c r="C30" s="7"/>
      <c r="D30" s="7"/>
      <c r="E30" s="7"/>
      <c r="F30" s="7"/>
    </row>
    <row r="31" customFormat="false" ht="19.5" hidden="false" customHeight="true" outlineLevel="0" collapsed="false">
      <c r="B31" s="24" t="s">
        <v>62</v>
      </c>
      <c r="C31" s="7" t="s">
        <v>63</v>
      </c>
      <c r="D31" s="7"/>
      <c r="E31" s="7"/>
      <c r="F31" s="7"/>
    </row>
    <row r="32" customFormat="false" ht="19.5" hidden="false" customHeight="true" outlineLevel="0" collapsed="false">
      <c r="C32" s="7"/>
      <c r="D32" s="7"/>
      <c r="E32" s="7"/>
      <c r="F32" s="7"/>
    </row>
    <row r="34" customFormat="false" ht="15" hidden="false" customHeight="false" outlineLevel="0" collapsed="false">
      <c r="B34" s="3" t="s">
        <v>64</v>
      </c>
    </row>
    <row r="35" customFormat="false" ht="19.5" hidden="false" customHeight="true" outlineLevel="0" collapsed="false">
      <c r="B35" s="25" t="s">
        <v>65</v>
      </c>
      <c r="C35" s="7" t="s">
        <v>66</v>
      </c>
      <c r="D35" s="7"/>
      <c r="E35" s="7"/>
      <c r="F35" s="7"/>
    </row>
    <row r="36" customFormat="false" ht="19.5" hidden="false" customHeight="true" outlineLevel="0" collapsed="false">
      <c r="C36" s="7"/>
      <c r="D36" s="7"/>
      <c r="E36" s="7"/>
      <c r="F36" s="7"/>
    </row>
    <row r="37" customFormat="false" ht="19.5" hidden="false" customHeight="true" outlineLevel="0" collapsed="false">
      <c r="B37" s="25" t="s">
        <v>67</v>
      </c>
      <c r="C37" s="7" t="s">
        <v>68</v>
      </c>
      <c r="D37" s="7"/>
      <c r="E37" s="7"/>
      <c r="F37" s="7"/>
    </row>
    <row r="38" customFormat="false" ht="19.5" hidden="false" customHeight="true" outlineLevel="0" collapsed="false">
      <c r="C38" s="7"/>
      <c r="D38" s="7"/>
      <c r="E38" s="7"/>
      <c r="F38" s="7"/>
    </row>
    <row r="39" customFormat="false" ht="19.5" hidden="false" customHeight="true" outlineLevel="0" collapsed="false">
      <c r="B39" s="25" t="s">
        <v>69</v>
      </c>
      <c r="C39" s="7" t="s">
        <v>70</v>
      </c>
      <c r="D39" s="7"/>
      <c r="E39" s="7"/>
      <c r="F39" s="7"/>
    </row>
    <row r="40" customFormat="false" ht="19.5" hidden="false" customHeight="true" outlineLevel="0" collapsed="false">
      <c r="C40" s="7"/>
      <c r="D40" s="7"/>
      <c r="E40" s="7"/>
      <c r="F40" s="7"/>
    </row>
    <row r="41" customFormat="false" ht="19.5" hidden="false" customHeight="true" outlineLevel="0" collapsed="false">
      <c r="B41" s="25" t="s">
        <v>71</v>
      </c>
      <c r="C41" s="7" t="s">
        <v>72</v>
      </c>
      <c r="D41" s="7"/>
      <c r="E41" s="7"/>
      <c r="F41" s="7"/>
    </row>
    <row r="42" customFormat="false" ht="19.5" hidden="false" customHeight="true" outlineLevel="0" collapsed="false">
      <c r="C42" s="7"/>
      <c r="D42" s="7"/>
      <c r="E42" s="7"/>
      <c r="F42" s="7"/>
    </row>
    <row r="43" customFormat="false" ht="15" hidden="false" customHeight="false" outlineLevel="0" collapsed="false">
      <c r="B43" s="17" t="s">
        <v>73</v>
      </c>
      <c r="C43" s="17"/>
      <c r="D43" s="17"/>
      <c r="E43" s="17"/>
      <c r="F43" s="17"/>
    </row>
  </sheetData>
  <mergeCells count="14">
    <mergeCell ref="B2:F2"/>
    <mergeCell ref="B3:F3"/>
    <mergeCell ref="B7:F7"/>
    <mergeCell ref="C21:F22"/>
    <mergeCell ref="C23:F24"/>
    <mergeCell ref="C25:F26"/>
    <mergeCell ref="C27:F28"/>
    <mergeCell ref="C29:F30"/>
    <mergeCell ref="C31:F32"/>
    <mergeCell ref="C35:F36"/>
    <mergeCell ref="C37:F38"/>
    <mergeCell ref="C39:F40"/>
    <mergeCell ref="C41:F42"/>
    <mergeCell ref="B43:F43"/>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21"/>
    <col collapsed="false" customWidth="true" hidden="false" outlineLevel="0" max="4" min="4" style="0" width="13"/>
    <col collapsed="false" customWidth="true" hidden="false" outlineLevel="0" max="5" min="5" style="0" width="10"/>
    <col collapsed="false" customWidth="true" hidden="false" outlineLevel="0" max="6" min="6" style="0" width="11"/>
    <col collapsed="false" customWidth="true" hidden="false" outlineLevel="0" max="7" min="7" style="0" width="38"/>
    <col collapsed="false" customWidth="true" hidden="false" outlineLevel="0" max="8" min="8" style="0" width="46"/>
    <col collapsed="false" customWidth="true" hidden="false" outlineLevel="0" max="9" min="9" style="0" width="13"/>
    <col collapsed="false" customWidth="true" hidden="false" outlineLevel="0" max="10" min="10" style="0" width="11"/>
  </cols>
  <sheetData>
    <row r="2" customFormat="false" ht="25.5" hidden="false" customHeight="true" outlineLevel="0" collapsed="false">
      <c r="B2" s="12" t="s">
        <v>74</v>
      </c>
      <c r="C2" s="12"/>
      <c r="D2" s="12"/>
      <c r="E2" s="12"/>
      <c r="F2" s="12"/>
      <c r="G2" s="12"/>
      <c r="H2" s="12"/>
      <c r="I2" s="12"/>
      <c r="J2" s="12"/>
    </row>
    <row r="3" customFormat="false" ht="31.5" hidden="false" customHeight="true" outlineLevel="0" collapsed="false">
      <c r="B3" s="13" t="s">
        <v>75</v>
      </c>
      <c r="C3" s="13"/>
      <c r="D3" s="13"/>
      <c r="E3" s="13"/>
      <c r="F3" s="13"/>
      <c r="G3" s="13"/>
      <c r="H3" s="13"/>
      <c r="I3" s="13"/>
      <c r="J3" s="13"/>
    </row>
    <row r="5" customFormat="false" ht="31.5" hidden="false" customHeight="true" outlineLevel="0" collapsed="false">
      <c r="B5" s="18" t="s">
        <v>46</v>
      </c>
      <c r="C5" s="18" t="s">
        <v>76</v>
      </c>
      <c r="D5" s="18" t="s">
        <v>77</v>
      </c>
      <c r="E5" s="18" t="s">
        <v>78</v>
      </c>
      <c r="F5" s="18" t="s">
        <v>79</v>
      </c>
      <c r="G5" s="18" t="s">
        <v>80</v>
      </c>
      <c r="H5" s="18" t="s">
        <v>81</v>
      </c>
      <c r="I5" s="18" t="s">
        <v>82</v>
      </c>
      <c r="J5" s="18" t="s">
        <v>83</v>
      </c>
    </row>
    <row r="6" customFormat="false" ht="15" hidden="false" customHeight="false" outlineLevel="0" collapsed="false">
      <c r="B6" s="19" t="s">
        <v>84</v>
      </c>
      <c r="C6" s="26" t="s">
        <v>85</v>
      </c>
      <c r="D6" s="27" t="n">
        <v>43770</v>
      </c>
      <c r="E6" s="28" t="n">
        <v>4.99</v>
      </c>
      <c r="F6" s="29" t="s">
        <v>86</v>
      </c>
      <c r="G6" s="30" t="s">
        <v>87</v>
      </c>
      <c r="H6" s="31" t="s">
        <v>88</v>
      </c>
      <c r="I6" s="29" t="s">
        <v>89</v>
      </c>
      <c r="J6" s="29" t="s">
        <v>90</v>
      </c>
    </row>
    <row r="7" customFormat="false" ht="15" hidden="false" customHeight="false" outlineLevel="0" collapsed="false">
      <c r="B7" s="19" t="s">
        <v>84</v>
      </c>
      <c r="C7" s="26" t="s">
        <v>85</v>
      </c>
      <c r="D7" s="27" t="n">
        <v>44858</v>
      </c>
      <c r="E7" s="28" t="n">
        <v>6.99</v>
      </c>
      <c r="F7" s="29" t="s">
        <v>91</v>
      </c>
      <c r="G7" s="30" t="s">
        <v>92</v>
      </c>
      <c r="H7" s="31" t="s">
        <v>88</v>
      </c>
      <c r="I7" s="29" t="s">
        <v>89</v>
      </c>
      <c r="J7" s="29" t="s">
        <v>90</v>
      </c>
    </row>
    <row r="8" customFormat="false" ht="15" hidden="false" customHeight="false" outlineLevel="0" collapsed="false">
      <c r="B8" s="19" t="s">
        <v>84</v>
      </c>
      <c r="C8" s="26" t="s">
        <v>85</v>
      </c>
      <c r="D8" s="27" t="n">
        <v>45224</v>
      </c>
      <c r="E8" s="28" t="n">
        <v>9.99</v>
      </c>
      <c r="F8" s="29" t="s">
        <v>91</v>
      </c>
      <c r="G8" s="30" t="s">
        <v>93</v>
      </c>
      <c r="H8" s="31" t="s">
        <v>94</v>
      </c>
      <c r="I8" s="29" t="s">
        <v>89</v>
      </c>
      <c r="J8" s="29" t="s">
        <v>90</v>
      </c>
    </row>
    <row r="9" customFormat="false" ht="15" hidden="false" customHeight="false" outlineLevel="0" collapsed="false">
      <c r="B9" s="19" t="s">
        <v>84</v>
      </c>
      <c r="C9" s="26" t="s">
        <v>85</v>
      </c>
      <c r="D9" s="27" t="n">
        <v>45890</v>
      </c>
      <c r="E9" s="28" t="n">
        <v>12.99</v>
      </c>
      <c r="F9" s="29" t="s">
        <v>91</v>
      </c>
      <c r="G9" s="30" t="s">
        <v>95</v>
      </c>
      <c r="H9" s="31" t="s">
        <v>96</v>
      </c>
      <c r="I9" s="29" t="s">
        <v>97</v>
      </c>
      <c r="J9" s="29" t="s">
        <v>90</v>
      </c>
    </row>
    <row r="10" customFormat="false" ht="15" hidden="false" customHeight="false" outlineLevel="0" collapsed="false">
      <c r="B10" s="19" t="s">
        <v>98</v>
      </c>
      <c r="C10" s="26" t="s">
        <v>99</v>
      </c>
      <c r="D10" s="27" t="n">
        <v>44903</v>
      </c>
      <c r="E10" s="28" t="n">
        <v>7.99</v>
      </c>
      <c r="F10" s="29" t="s">
        <v>86</v>
      </c>
      <c r="G10" s="30" t="s">
        <v>100</v>
      </c>
      <c r="H10" s="31" t="s">
        <v>101</v>
      </c>
      <c r="I10" s="29" t="s">
        <v>102</v>
      </c>
      <c r="J10" s="29" t="s">
        <v>90</v>
      </c>
    </row>
    <row r="11" customFormat="false" ht="15" hidden="false" customHeight="false" outlineLevel="0" collapsed="false">
      <c r="B11" s="19" t="s">
        <v>98</v>
      </c>
      <c r="C11" s="26" t="s">
        <v>99</v>
      </c>
      <c r="D11" s="27" t="n">
        <v>45582</v>
      </c>
      <c r="E11" s="28" t="n">
        <v>9.99</v>
      </c>
      <c r="F11" s="29" t="s">
        <v>91</v>
      </c>
      <c r="G11" s="30" t="s">
        <v>103</v>
      </c>
      <c r="H11" s="31" t="s">
        <v>104</v>
      </c>
      <c r="I11" s="29" t="s">
        <v>105</v>
      </c>
      <c r="J11" s="29" t="s">
        <v>90</v>
      </c>
    </row>
    <row r="12" customFormat="false" ht="15" hidden="false" customHeight="false" outlineLevel="0" collapsed="false">
      <c r="B12" s="19" t="s">
        <v>98</v>
      </c>
      <c r="C12" s="26" t="s">
        <v>99</v>
      </c>
      <c r="D12" s="27" t="n">
        <v>45951</v>
      </c>
      <c r="E12" s="28" t="n">
        <v>11.99</v>
      </c>
      <c r="F12" s="29" t="s">
        <v>91</v>
      </c>
      <c r="G12" s="30" t="s">
        <v>106</v>
      </c>
      <c r="H12" s="31" t="s">
        <v>107</v>
      </c>
      <c r="I12" s="29" t="s">
        <v>108</v>
      </c>
      <c r="J12" s="29" t="s">
        <v>90</v>
      </c>
    </row>
    <row r="13" customFormat="false" ht="15" hidden="false" customHeight="false" outlineLevel="0" collapsed="false">
      <c r="B13" s="19" t="s">
        <v>98</v>
      </c>
      <c r="C13" s="26" t="s">
        <v>109</v>
      </c>
      <c r="D13" s="27" t="n">
        <v>43781</v>
      </c>
      <c r="E13" s="28" t="n">
        <v>6.99</v>
      </c>
      <c r="F13" s="29" t="s">
        <v>86</v>
      </c>
      <c r="G13" s="30" t="s">
        <v>110</v>
      </c>
      <c r="H13" s="31" t="s">
        <v>104</v>
      </c>
      <c r="I13" s="29" t="s">
        <v>105</v>
      </c>
      <c r="J13" s="29" t="s">
        <v>90</v>
      </c>
    </row>
    <row r="14" customFormat="false" ht="15" hidden="false" customHeight="false" outlineLevel="0" collapsed="false">
      <c r="B14" s="19" t="s">
        <v>98</v>
      </c>
      <c r="C14" s="26" t="s">
        <v>109</v>
      </c>
      <c r="D14" s="27" t="n">
        <v>44281</v>
      </c>
      <c r="E14" s="28" t="n">
        <v>7.99</v>
      </c>
      <c r="F14" s="29" t="s">
        <v>91</v>
      </c>
      <c r="G14" s="30" t="s">
        <v>111</v>
      </c>
      <c r="H14" s="31" t="s">
        <v>112</v>
      </c>
      <c r="I14" s="29" t="s">
        <v>102</v>
      </c>
      <c r="J14" s="29" t="s">
        <v>90</v>
      </c>
    </row>
    <row r="15" customFormat="false" ht="15" hidden="false" customHeight="false" outlineLevel="0" collapsed="false">
      <c r="B15" s="19" t="s">
        <v>98</v>
      </c>
      <c r="C15" s="26" t="s">
        <v>109</v>
      </c>
      <c r="D15" s="27" t="n">
        <v>44903</v>
      </c>
      <c r="E15" s="28" t="n">
        <v>10.99</v>
      </c>
      <c r="F15" s="29" t="s">
        <v>91</v>
      </c>
      <c r="G15" s="30" t="s">
        <v>113</v>
      </c>
      <c r="H15" s="31" t="s">
        <v>101</v>
      </c>
      <c r="I15" s="29" t="s">
        <v>102</v>
      </c>
      <c r="J15" s="29" t="s">
        <v>90</v>
      </c>
    </row>
    <row r="16" customFormat="false" ht="15" hidden="false" customHeight="false" outlineLevel="0" collapsed="false">
      <c r="B16" s="19" t="s">
        <v>98</v>
      </c>
      <c r="C16" s="26" t="s">
        <v>109</v>
      </c>
      <c r="D16" s="27" t="n">
        <v>45211</v>
      </c>
      <c r="E16" s="28" t="n">
        <v>13.99</v>
      </c>
      <c r="F16" s="29" t="s">
        <v>91</v>
      </c>
      <c r="G16" s="30" t="s">
        <v>114</v>
      </c>
      <c r="H16" s="31" t="s">
        <v>115</v>
      </c>
      <c r="I16" s="29" t="s">
        <v>116</v>
      </c>
      <c r="J16" s="29" t="s">
        <v>90</v>
      </c>
    </row>
    <row r="17" customFormat="false" ht="15" hidden="false" customHeight="false" outlineLevel="0" collapsed="false">
      <c r="B17" s="19" t="s">
        <v>98</v>
      </c>
      <c r="C17" s="26" t="s">
        <v>109</v>
      </c>
      <c r="D17" s="27" t="n">
        <v>45582</v>
      </c>
      <c r="E17" s="28" t="n">
        <v>15.99</v>
      </c>
      <c r="F17" s="29" t="s">
        <v>91</v>
      </c>
      <c r="G17" s="30" t="s">
        <v>103</v>
      </c>
      <c r="H17" s="31" t="s">
        <v>117</v>
      </c>
      <c r="I17" s="29" t="s">
        <v>108</v>
      </c>
      <c r="J17" s="29" t="s">
        <v>90</v>
      </c>
    </row>
    <row r="18" customFormat="false" ht="15" hidden="false" customHeight="false" outlineLevel="0" collapsed="false">
      <c r="B18" s="19" t="s">
        <v>98</v>
      </c>
      <c r="C18" s="26" t="s">
        <v>109</v>
      </c>
      <c r="D18" s="27" t="n">
        <v>45951</v>
      </c>
      <c r="E18" s="28" t="n">
        <v>18.99</v>
      </c>
      <c r="F18" s="29" t="s">
        <v>91</v>
      </c>
      <c r="G18" s="30" t="s">
        <v>118</v>
      </c>
      <c r="H18" s="31" t="s">
        <v>117</v>
      </c>
      <c r="I18" s="29" t="s">
        <v>108</v>
      </c>
      <c r="J18" s="29" t="s">
        <v>90</v>
      </c>
    </row>
    <row r="19" customFormat="false" ht="15" hidden="false" customHeight="false" outlineLevel="0" collapsed="false">
      <c r="B19" s="19" t="s">
        <v>119</v>
      </c>
      <c r="C19" s="26" t="s">
        <v>120</v>
      </c>
      <c r="D19" s="27" t="n">
        <v>43202</v>
      </c>
      <c r="E19" s="28" t="n">
        <v>4.99</v>
      </c>
      <c r="F19" s="29" t="s">
        <v>86</v>
      </c>
      <c r="G19" s="30" t="s">
        <v>121</v>
      </c>
      <c r="H19" s="31" t="s">
        <v>101</v>
      </c>
      <c r="I19" s="29" t="s">
        <v>102</v>
      </c>
      <c r="J19" s="29" t="s">
        <v>90</v>
      </c>
    </row>
    <row r="20" customFormat="false" ht="15" hidden="false" customHeight="false" outlineLevel="0" collapsed="false">
      <c r="B20" s="19" t="s">
        <v>119</v>
      </c>
      <c r="C20" s="26" t="s">
        <v>120</v>
      </c>
      <c r="D20" s="27" t="n">
        <v>44056</v>
      </c>
      <c r="E20" s="28" t="n">
        <v>5.99</v>
      </c>
      <c r="F20" s="29" t="s">
        <v>91</v>
      </c>
      <c r="G20" s="30" t="s">
        <v>122</v>
      </c>
      <c r="H20" s="31" t="s">
        <v>101</v>
      </c>
      <c r="I20" s="29" t="s">
        <v>102</v>
      </c>
      <c r="J20" s="29" t="s">
        <v>90</v>
      </c>
    </row>
    <row r="21" customFormat="false" ht="15" hidden="false" customHeight="false" outlineLevel="0" collapsed="false">
      <c r="B21" s="19" t="s">
        <v>119</v>
      </c>
      <c r="C21" s="26" t="s">
        <v>120</v>
      </c>
      <c r="D21" s="27" t="n">
        <v>44378</v>
      </c>
      <c r="E21" s="28" t="n">
        <v>6.99</v>
      </c>
      <c r="F21" s="29" t="s">
        <v>91</v>
      </c>
      <c r="G21" s="30" t="s">
        <v>123</v>
      </c>
      <c r="H21" s="31" t="s">
        <v>101</v>
      </c>
      <c r="I21" s="29" t="s">
        <v>102</v>
      </c>
      <c r="J21" s="29" t="s">
        <v>90</v>
      </c>
    </row>
    <row r="22" customFormat="false" ht="15" hidden="false" customHeight="false" outlineLevel="0" collapsed="false">
      <c r="B22" s="19" t="s">
        <v>119</v>
      </c>
      <c r="C22" s="26" t="s">
        <v>120</v>
      </c>
      <c r="D22" s="27" t="n">
        <v>44796</v>
      </c>
      <c r="E22" s="28" t="n">
        <v>9.99</v>
      </c>
      <c r="F22" s="29" t="s">
        <v>91</v>
      </c>
      <c r="G22" s="30" t="s">
        <v>124</v>
      </c>
      <c r="H22" s="31" t="s">
        <v>101</v>
      </c>
      <c r="I22" s="29" t="s">
        <v>102</v>
      </c>
      <c r="J22" s="29" t="s">
        <v>90</v>
      </c>
    </row>
    <row r="23" customFormat="false" ht="15" hidden="false" customHeight="false" outlineLevel="0" collapsed="false">
      <c r="B23" s="19" t="s">
        <v>119</v>
      </c>
      <c r="C23" s="26" t="s">
        <v>120</v>
      </c>
      <c r="D23" s="27" t="n">
        <v>45161</v>
      </c>
      <c r="E23" s="28" t="n">
        <v>10.99</v>
      </c>
      <c r="F23" s="29" t="s">
        <v>91</v>
      </c>
      <c r="G23" s="30" t="s">
        <v>125</v>
      </c>
      <c r="H23" s="31" t="s">
        <v>101</v>
      </c>
      <c r="I23" s="29" t="s">
        <v>102</v>
      </c>
      <c r="J23" s="32" t="s">
        <v>126</v>
      </c>
    </row>
    <row r="24" customFormat="false" ht="15" hidden="false" customHeight="false" outlineLevel="0" collapsed="false">
      <c r="B24" s="19" t="s">
        <v>119</v>
      </c>
      <c r="C24" s="26" t="s">
        <v>120</v>
      </c>
      <c r="D24" s="27" t="n">
        <v>45582</v>
      </c>
      <c r="E24" s="28" t="n">
        <v>11.99</v>
      </c>
      <c r="F24" s="29" t="s">
        <v>91</v>
      </c>
      <c r="G24" s="30" t="s">
        <v>127</v>
      </c>
      <c r="H24" s="31" t="s">
        <v>104</v>
      </c>
      <c r="I24" s="29" t="s">
        <v>105</v>
      </c>
      <c r="J24" s="32" t="s">
        <v>126</v>
      </c>
    </row>
    <row r="25" customFormat="false" ht="22.35" hidden="false" customHeight="false" outlineLevel="0" collapsed="false">
      <c r="B25" s="19" t="s">
        <v>119</v>
      </c>
      <c r="C25" s="26" t="s">
        <v>120</v>
      </c>
      <c r="D25" s="27" t="n">
        <v>45951</v>
      </c>
      <c r="E25" s="28" t="n">
        <v>12.99</v>
      </c>
      <c r="F25" s="29" t="s">
        <v>91</v>
      </c>
      <c r="G25" s="30" t="s">
        <v>128</v>
      </c>
      <c r="H25" s="31" t="s">
        <v>107</v>
      </c>
      <c r="I25" s="29" t="s">
        <v>108</v>
      </c>
      <c r="J25" s="29" t="s">
        <v>90</v>
      </c>
    </row>
    <row r="26" customFormat="false" ht="15" hidden="false" customHeight="false" outlineLevel="0" collapsed="false">
      <c r="B26" s="19" t="s">
        <v>129</v>
      </c>
      <c r="C26" s="26" t="s">
        <v>99</v>
      </c>
      <c r="D26" s="27" t="n">
        <v>44348</v>
      </c>
      <c r="E26" s="28" t="n">
        <v>9.99</v>
      </c>
      <c r="F26" s="29" t="s">
        <v>86</v>
      </c>
      <c r="G26" s="30" t="s">
        <v>130</v>
      </c>
      <c r="H26" s="31" t="s">
        <v>131</v>
      </c>
      <c r="I26" s="29" t="s">
        <v>132</v>
      </c>
      <c r="J26" s="29" t="s">
        <v>90</v>
      </c>
    </row>
    <row r="27" customFormat="false" ht="15" hidden="false" customHeight="false" outlineLevel="0" collapsed="false">
      <c r="B27" s="19" t="s">
        <v>129</v>
      </c>
      <c r="C27" s="26" t="s">
        <v>99</v>
      </c>
      <c r="D27" s="27" t="n">
        <v>45951</v>
      </c>
      <c r="E27" s="28" t="n">
        <v>10.99</v>
      </c>
      <c r="F27" s="29" t="s">
        <v>91</v>
      </c>
      <c r="G27" s="30" t="s">
        <v>133</v>
      </c>
      <c r="H27" s="31" t="s">
        <v>134</v>
      </c>
      <c r="I27" s="29" t="s">
        <v>132</v>
      </c>
      <c r="J27" s="29" t="s">
        <v>90</v>
      </c>
    </row>
    <row r="28" customFormat="false" ht="15" hidden="false" customHeight="false" outlineLevel="0" collapsed="false">
      <c r="B28" s="19" t="s">
        <v>129</v>
      </c>
      <c r="C28" s="26" t="s">
        <v>109</v>
      </c>
      <c r="D28" s="27" t="n">
        <v>45951</v>
      </c>
      <c r="E28" s="28" t="n">
        <v>22.99</v>
      </c>
      <c r="F28" s="29" t="s">
        <v>86</v>
      </c>
      <c r="G28" s="30" t="s">
        <v>135</v>
      </c>
      <c r="H28" s="31" t="s">
        <v>136</v>
      </c>
      <c r="I28" s="29" t="s">
        <v>132</v>
      </c>
      <c r="J28" s="29" t="s">
        <v>90</v>
      </c>
    </row>
    <row r="29" customFormat="false" ht="15" hidden="false" customHeight="false" outlineLevel="0" collapsed="false">
      <c r="B29" s="19" t="s">
        <v>129</v>
      </c>
      <c r="C29" s="26" t="s">
        <v>85</v>
      </c>
      <c r="D29" s="27" t="n">
        <v>43978</v>
      </c>
      <c r="E29" s="28" t="n">
        <v>14.99</v>
      </c>
      <c r="F29" s="29" t="s">
        <v>86</v>
      </c>
      <c r="G29" s="30" t="s">
        <v>137</v>
      </c>
      <c r="H29" s="31" t="s">
        <v>131</v>
      </c>
      <c r="I29" s="29" t="s">
        <v>132</v>
      </c>
      <c r="J29" s="29" t="s">
        <v>90</v>
      </c>
    </row>
    <row r="30" customFormat="false" ht="15" hidden="false" customHeight="false" outlineLevel="0" collapsed="false">
      <c r="B30" s="19" t="s">
        <v>129</v>
      </c>
      <c r="C30" s="26" t="s">
        <v>85</v>
      </c>
      <c r="D30" s="27" t="n">
        <v>44938</v>
      </c>
      <c r="E30" s="28" t="n">
        <v>15.99</v>
      </c>
      <c r="F30" s="29" t="s">
        <v>91</v>
      </c>
      <c r="G30" s="30" t="s">
        <v>138</v>
      </c>
      <c r="H30" s="31" t="s">
        <v>131</v>
      </c>
      <c r="I30" s="29" t="s">
        <v>132</v>
      </c>
      <c r="J30" s="29" t="s">
        <v>90</v>
      </c>
    </row>
    <row r="31" customFormat="false" ht="15" hidden="false" customHeight="false" outlineLevel="0" collapsed="false">
      <c r="B31" s="19" t="s">
        <v>129</v>
      </c>
      <c r="C31" s="26" t="s">
        <v>85</v>
      </c>
      <c r="D31" s="27" t="n">
        <v>45447</v>
      </c>
      <c r="E31" s="28" t="n">
        <v>16.99</v>
      </c>
      <c r="F31" s="29" t="s">
        <v>91</v>
      </c>
      <c r="G31" s="30" t="s">
        <v>139</v>
      </c>
      <c r="H31" s="31" t="s">
        <v>131</v>
      </c>
      <c r="I31" s="29" t="s">
        <v>132</v>
      </c>
      <c r="J31" s="29" t="s">
        <v>90</v>
      </c>
    </row>
    <row r="32" customFormat="false" ht="22.35" hidden="false" customHeight="false" outlineLevel="0" collapsed="false">
      <c r="B32" s="19" t="s">
        <v>129</v>
      </c>
      <c r="C32" s="26" t="s">
        <v>85</v>
      </c>
      <c r="D32" s="27" t="n">
        <v>45951</v>
      </c>
      <c r="E32" s="28" t="n">
        <v>18.49</v>
      </c>
      <c r="F32" s="29" t="s">
        <v>91</v>
      </c>
      <c r="G32" s="30" t="s">
        <v>140</v>
      </c>
      <c r="H32" s="31" t="s">
        <v>131</v>
      </c>
      <c r="I32" s="29" t="s">
        <v>132</v>
      </c>
      <c r="J32" s="29" t="s">
        <v>90</v>
      </c>
    </row>
    <row r="33" customFormat="false" ht="15" hidden="false" customHeight="false" outlineLevel="0" collapsed="false">
      <c r="B33" s="19" t="s">
        <v>141</v>
      </c>
      <c r="C33" s="26" t="s">
        <v>142</v>
      </c>
      <c r="D33" s="27" t="n">
        <v>43466</v>
      </c>
      <c r="E33" s="28" t="n">
        <v>11.99</v>
      </c>
      <c r="F33" s="29" t="s">
        <v>86</v>
      </c>
      <c r="G33" s="30" t="s">
        <v>143</v>
      </c>
      <c r="H33" s="31" t="s">
        <v>144</v>
      </c>
      <c r="I33" s="29" t="s">
        <v>145</v>
      </c>
      <c r="J33" s="32" t="s">
        <v>126</v>
      </c>
    </row>
    <row r="34" customFormat="false" ht="15" hidden="false" customHeight="false" outlineLevel="0" collapsed="false">
      <c r="B34" s="19" t="s">
        <v>141</v>
      </c>
      <c r="C34" s="26" t="s">
        <v>142</v>
      </c>
      <c r="D34" s="27" t="n">
        <v>44844</v>
      </c>
      <c r="E34" s="28" t="n">
        <v>14.99</v>
      </c>
      <c r="F34" s="29" t="s">
        <v>91</v>
      </c>
      <c r="G34" s="30" t="s">
        <v>146</v>
      </c>
      <c r="H34" s="31" t="s">
        <v>101</v>
      </c>
      <c r="I34" s="29" t="s">
        <v>102</v>
      </c>
      <c r="J34" s="29" t="s">
        <v>90</v>
      </c>
    </row>
    <row r="35" customFormat="false" ht="15" hidden="false" customHeight="false" outlineLevel="0" collapsed="false">
      <c r="B35" s="19" t="s">
        <v>141</v>
      </c>
      <c r="C35" s="26" t="s">
        <v>142</v>
      </c>
      <c r="D35" s="27" t="n">
        <v>45211</v>
      </c>
      <c r="E35" s="28" t="n">
        <v>17.99</v>
      </c>
      <c r="F35" s="29" t="s">
        <v>91</v>
      </c>
      <c r="G35" s="30" t="s">
        <v>114</v>
      </c>
      <c r="H35" s="31" t="s">
        <v>115</v>
      </c>
      <c r="I35" s="29" t="s">
        <v>116</v>
      </c>
      <c r="J35" s="29" t="s">
        <v>90</v>
      </c>
    </row>
    <row r="36" customFormat="false" ht="15" hidden="false" customHeight="false" outlineLevel="0" collapsed="false">
      <c r="B36" s="19" t="s">
        <v>141</v>
      </c>
      <c r="C36" s="26" t="s">
        <v>142</v>
      </c>
      <c r="D36" s="27" t="n">
        <v>45582</v>
      </c>
      <c r="E36" s="28" t="n">
        <v>18.99</v>
      </c>
      <c r="F36" s="29" t="s">
        <v>91</v>
      </c>
      <c r="G36" s="30" t="s">
        <v>103</v>
      </c>
      <c r="H36" s="31" t="s">
        <v>107</v>
      </c>
      <c r="I36" s="29" t="s">
        <v>108</v>
      </c>
      <c r="J36" s="29" t="s">
        <v>90</v>
      </c>
    </row>
    <row r="37" customFormat="false" ht="15" hidden="false" customHeight="false" outlineLevel="0" collapsed="false">
      <c r="B37" s="19" t="s">
        <v>141</v>
      </c>
      <c r="C37" s="26" t="s">
        <v>147</v>
      </c>
      <c r="D37" s="27" t="n">
        <v>43466</v>
      </c>
      <c r="E37" s="28" t="n">
        <v>5.99</v>
      </c>
      <c r="F37" s="29" t="s">
        <v>86</v>
      </c>
      <c r="G37" s="30" t="s">
        <v>143</v>
      </c>
      <c r="H37" s="31" t="s">
        <v>144</v>
      </c>
      <c r="I37" s="29" t="s">
        <v>145</v>
      </c>
      <c r="J37" s="32" t="s">
        <v>126</v>
      </c>
    </row>
    <row r="38" customFormat="false" ht="15" hidden="false" customHeight="false" outlineLevel="0" collapsed="false">
      <c r="B38" s="19" t="s">
        <v>141</v>
      </c>
      <c r="C38" s="26" t="s">
        <v>147</v>
      </c>
      <c r="D38" s="27" t="n">
        <v>44477</v>
      </c>
      <c r="E38" s="28" t="n">
        <v>6.99</v>
      </c>
      <c r="F38" s="29" t="s">
        <v>91</v>
      </c>
      <c r="G38" s="30" t="s">
        <v>148</v>
      </c>
      <c r="H38" s="31" t="s">
        <v>112</v>
      </c>
      <c r="I38" s="29" t="s">
        <v>102</v>
      </c>
      <c r="J38" s="32" t="s">
        <v>126</v>
      </c>
    </row>
    <row r="39" customFormat="false" ht="15" hidden="false" customHeight="false" outlineLevel="0" collapsed="false">
      <c r="B39" s="19" t="s">
        <v>141</v>
      </c>
      <c r="C39" s="26" t="s">
        <v>147</v>
      </c>
      <c r="D39" s="27" t="n">
        <v>44844</v>
      </c>
      <c r="E39" s="28" t="n">
        <v>7.99</v>
      </c>
      <c r="F39" s="29" t="s">
        <v>91</v>
      </c>
      <c r="G39" s="30" t="s">
        <v>149</v>
      </c>
      <c r="H39" s="31" t="s">
        <v>101</v>
      </c>
      <c r="I39" s="29" t="s">
        <v>102</v>
      </c>
      <c r="J39" s="29" t="s">
        <v>90</v>
      </c>
    </row>
    <row r="40" customFormat="false" ht="15" hidden="false" customHeight="false" outlineLevel="0" collapsed="false">
      <c r="B40" s="19" t="s">
        <v>141</v>
      </c>
      <c r="C40" s="26" t="s">
        <v>147</v>
      </c>
      <c r="D40" s="27" t="n">
        <v>45582</v>
      </c>
      <c r="E40" s="28" t="n">
        <v>9.99</v>
      </c>
      <c r="F40" s="29" t="s">
        <v>91</v>
      </c>
      <c r="G40" s="30" t="s">
        <v>103</v>
      </c>
      <c r="H40" s="31" t="s">
        <v>104</v>
      </c>
      <c r="I40" s="29" t="s">
        <v>105</v>
      </c>
      <c r="J40" s="29" t="s">
        <v>90</v>
      </c>
    </row>
    <row r="41" customFormat="false" ht="15" hidden="false" customHeight="false" outlineLevel="0" collapsed="false">
      <c r="B41" s="19" t="s">
        <v>141</v>
      </c>
      <c r="C41" s="26" t="s">
        <v>147</v>
      </c>
      <c r="D41" s="27" t="n">
        <v>45951</v>
      </c>
      <c r="E41" s="28" t="n">
        <v>11.99</v>
      </c>
      <c r="F41" s="29" t="s">
        <v>91</v>
      </c>
      <c r="G41" s="30" t="s">
        <v>106</v>
      </c>
      <c r="H41" s="31" t="s">
        <v>117</v>
      </c>
      <c r="I41" s="29" t="s">
        <v>108</v>
      </c>
      <c r="J41" s="29" t="s">
        <v>90</v>
      </c>
    </row>
    <row r="42" customFormat="false" ht="15" hidden="false" customHeight="false" outlineLevel="0" collapsed="false">
      <c r="B42" s="19" t="s">
        <v>150</v>
      </c>
      <c r="C42" s="26" t="s">
        <v>109</v>
      </c>
      <c r="D42" s="27" t="n">
        <v>43480</v>
      </c>
      <c r="E42" s="28" t="n">
        <v>15.99</v>
      </c>
      <c r="F42" s="29" t="s">
        <v>86</v>
      </c>
      <c r="G42" s="30" t="s">
        <v>151</v>
      </c>
      <c r="H42" s="31" t="s">
        <v>152</v>
      </c>
      <c r="I42" s="29" t="s">
        <v>153</v>
      </c>
      <c r="J42" s="29" t="s">
        <v>90</v>
      </c>
    </row>
    <row r="43" customFormat="false" ht="15" hidden="false" customHeight="false" outlineLevel="0" collapsed="false">
      <c r="B43" s="19" t="s">
        <v>150</v>
      </c>
      <c r="C43" s="26" t="s">
        <v>109</v>
      </c>
      <c r="D43" s="27" t="n">
        <v>44133</v>
      </c>
      <c r="E43" s="28" t="n">
        <v>17.99</v>
      </c>
      <c r="F43" s="29" t="s">
        <v>91</v>
      </c>
      <c r="G43" s="30" t="s">
        <v>154</v>
      </c>
      <c r="H43" s="31" t="s">
        <v>152</v>
      </c>
      <c r="I43" s="29" t="s">
        <v>153</v>
      </c>
      <c r="J43" s="29" t="s">
        <v>90</v>
      </c>
    </row>
    <row r="44" customFormat="false" ht="15" hidden="false" customHeight="false" outlineLevel="0" collapsed="false">
      <c r="B44" s="19" t="s">
        <v>150</v>
      </c>
      <c r="C44" s="26" t="s">
        <v>109</v>
      </c>
      <c r="D44" s="27" t="n">
        <v>44575</v>
      </c>
      <c r="E44" s="28" t="n">
        <v>19.99</v>
      </c>
      <c r="F44" s="29" t="s">
        <v>91</v>
      </c>
      <c r="G44" s="30" t="s">
        <v>155</v>
      </c>
      <c r="H44" s="31" t="s">
        <v>156</v>
      </c>
      <c r="I44" s="29" t="s">
        <v>157</v>
      </c>
      <c r="J44" s="29" t="s">
        <v>90</v>
      </c>
    </row>
    <row r="45" customFormat="false" ht="15" hidden="false" customHeight="false" outlineLevel="0" collapsed="false">
      <c r="B45" s="19" t="s">
        <v>150</v>
      </c>
      <c r="C45" s="26" t="s">
        <v>109</v>
      </c>
      <c r="D45" s="27" t="n">
        <v>45217</v>
      </c>
      <c r="E45" s="28" t="n">
        <v>22.99</v>
      </c>
      <c r="F45" s="29" t="s">
        <v>91</v>
      </c>
      <c r="G45" s="30" t="s">
        <v>158</v>
      </c>
      <c r="H45" s="31" t="s">
        <v>159</v>
      </c>
      <c r="I45" s="29" t="s">
        <v>160</v>
      </c>
      <c r="J45" s="29" t="s">
        <v>90</v>
      </c>
    </row>
    <row r="46" customFormat="false" ht="15" hidden="false" customHeight="false" outlineLevel="0" collapsed="false">
      <c r="B46" s="19" t="s">
        <v>150</v>
      </c>
      <c r="C46" s="26" t="s">
        <v>109</v>
      </c>
      <c r="D46" s="27" t="n">
        <v>45678</v>
      </c>
      <c r="E46" s="28" t="n">
        <v>24.99</v>
      </c>
      <c r="F46" s="29" t="s">
        <v>91</v>
      </c>
      <c r="G46" s="30" t="s">
        <v>161</v>
      </c>
      <c r="H46" s="31" t="s">
        <v>162</v>
      </c>
      <c r="I46" s="29" t="s">
        <v>163</v>
      </c>
      <c r="J46" s="29" t="s">
        <v>90</v>
      </c>
    </row>
    <row r="47" customFormat="false" ht="15" hidden="false" customHeight="false" outlineLevel="0" collapsed="false">
      <c r="B47" s="19" t="s">
        <v>150</v>
      </c>
      <c r="C47" s="26" t="s">
        <v>109</v>
      </c>
      <c r="D47" s="27" t="n">
        <v>46107</v>
      </c>
      <c r="E47" s="28" t="n">
        <v>26.99</v>
      </c>
      <c r="F47" s="29" t="s">
        <v>91</v>
      </c>
      <c r="G47" s="30" t="s">
        <v>164</v>
      </c>
      <c r="H47" s="31" t="s">
        <v>165</v>
      </c>
      <c r="I47" s="29" t="s">
        <v>166</v>
      </c>
      <c r="J47" s="29" t="s">
        <v>90</v>
      </c>
    </row>
    <row r="48" customFormat="false" ht="15" hidden="false" customHeight="false" outlineLevel="0" collapsed="false">
      <c r="B48" s="19" t="s">
        <v>150</v>
      </c>
      <c r="C48" s="26" t="s">
        <v>85</v>
      </c>
      <c r="D48" s="27" t="n">
        <v>43480</v>
      </c>
      <c r="E48" s="28" t="n">
        <v>12.99</v>
      </c>
      <c r="F48" s="29" t="s">
        <v>86</v>
      </c>
      <c r="G48" s="30" t="s">
        <v>167</v>
      </c>
      <c r="H48" s="31" t="s">
        <v>152</v>
      </c>
      <c r="I48" s="29" t="s">
        <v>153</v>
      </c>
      <c r="J48" s="29" t="s">
        <v>90</v>
      </c>
    </row>
    <row r="49" customFormat="false" ht="15" hidden="false" customHeight="false" outlineLevel="0" collapsed="false">
      <c r="B49" s="19" t="s">
        <v>150</v>
      </c>
      <c r="C49" s="26" t="s">
        <v>85</v>
      </c>
      <c r="D49" s="27" t="n">
        <v>44133</v>
      </c>
      <c r="E49" s="28" t="n">
        <v>13.99</v>
      </c>
      <c r="F49" s="29" t="s">
        <v>91</v>
      </c>
      <c r="G49" s="30" t="s">
        <v>168</v>
      </c>
      <c r="H49" s="31" t="s">
        <v>152</v>
      </c>
      <c r="I49" s="29" t="s">
        <v>153</v>
      </c>
      <c r="J49" s="29" t="s">
        <v>90</v>
      </c>
    </row>
    <row r="50" customFormat="false" ht="15" hidden="false" customHeight="false" outlineLevel="0" collapsed="false">
      <c r="B50" s="19" t="s">
        <v>150</v>
      </c>
      <c r="C50" s="26" t="s">
        <v>85</v>
      </c>
      <c r="D50" s="27" t="n">
        <v>44575</v>
      </c>
      <c r="E50" s="28" t="n">
        <v>15.49</v>
      </c>
      <c r="F50" s="29" t="s">
        <v>91</v>
      </c>
      <c r="G50" s="30" t="s">
        <v>169</v>
      </c>
      <c r="H50" s="31" t="s">
        <v>156</v>
      </c>
      <c r="I50" s="29" t="s">
        <v>157</v>
      </c>
      <c r="J50" s="29" t="s">
        <v>90</v>
      </c>
    </row>
    <row r="51" customFormat="false" ht="15" hidden="false" customHeight="false" outlineLevel="0" collapsed="false">
      <c r="B51" s="19" t="s">
        <v>150</v>
      </c>
      <c r="C51" s="26" t="s">
        <v>85</v>
      </c>
      <c r="D51" s="27" t="n">
        <v>45678</v>
      </c>
      <c r="E51" s="28" t="n">
        <v>17.99</v>
      </c>
      <c r="F51" s="29" t="s">
        <v>91</v>
      </c>
      <c r="G51" s="30" t="s">
        <v>170</v>
      </c>
      <c r="H51" s="31" t="s">
        <v>162</v>
      </c>
      <c r="I51" s="29" t="s">
        <v>163</v>
      </c>
      <c r="J51" s="29" t="s">
        <v>90</v>
      </c>
    </row>
    <row r="52" customFormat="false" ht="15" hidden="false" customHeight="false" outlineLevel="0" collapsed="false">
      <c r="B52" s="19" t="s">
        <v>150</v>
      </c>
      <c r="C52" s="26" t="s">
        <v>85</v>
      </c>
      <c r="D52" s="27" t="n">
        <v>46107</v>
      </c>
      <c r="E52" s="28" t="n">
        <v>19.99</v>
      </c>
      <c r="F52" s="29" t="s">
        <v>91</v>
      </c>
      <c r="G52" s="30" t="s">
        <v>171</v>
      </c>
      <c r="H52" s="31" t="s">
        <v>172</v>
      </c>
      <c r="I52" s="29" t="s">
        <v>166</v>
      </c>
      <c r="J52" s="29" t="s">
        <v>90</v>
      </c>
    </row>
    <row r="53" customFormat="false" ht="15" hidden="false" customHeight="false" outlineLevel="0" collapsed="false">
      <c r="B53" s="19" t="s">
        <v>150</v>
      </c>
      <c r="C53" s="26" t="s">
        <v>120</v>
      </c>
      <c r="D53" s="27" t="n">
        <v>44868</v>
      </c>
      <c r="E53" s="28" t="n">
        <v>6.99</v>
      </c>
      <c r="F53" s="29" t="s">
        <v>86</v>
      </c>
      <c r="G53" s="30" t="s">
        <v>173</v>
      </c>
      <c r="H53" s="31" t="s">
        <v>159</v>
      </c>
      <c r="I53" s="29" t="s">
        <v>160</v>
      </c>
      <c r="J53" s="29" t="s">
        <v>90</v>
      </c>
    </row>
    <row r="54" customFormat="false" ht="15" hidden="false" customHeight="false" outlineLevel="0" collapsed="false">
      <c r="B54" s="19" t="s">
        <v>150</v>
      </c>
      <c r="C54" s="26" t="s">
        <v>120</v>
      </c>
      <c r="D54" s="27" t="n">
        <v>45678</v>
      </c>
      <c r="E54" s="28" t="n">
        <v>7.99</v>
      </c>
      <c r="F54" s="29" t="s">
        <v>91</v>
      </c>
      <c r="G54" s="30" t="s">
        <v>174</v>
      </c>
      <c r="H54" s="31" t="s">
        <v>162</v>
      </c>
      <c r="I54" s="29" t="s">
        <v>163</v>
      </c>
      <c r="J54" s="29" t="s">
        <v>90</v>
      </c>
    </row>
    <row r="55" customFormat="false" ht="15" hidden="false" customHeight="false" outlineLevel="0" collapsed="false">
      <c r="B55" s="19" t="s">
        <v>150</v>
      </c>
      <c r="C55" s="26" t="s">
        <v>120</v>
      </c>
      <c r="D55" s="27" t="n">
        <v>46107</v>
      </c>
      <c r="E55" s="28" t="n">
        <v>8.99</v>
      </c>
      <c r="F55" s="29" t="s">
        <v>91</v>
      </c>
      <c r="G55" s="30" t="s">
        <v>164</v>
      </c>
      <c r="H55" s="31" t="s">
        <v>172</v>
      </c>
      <c r="I55" s="29" t="s">
        <v>166</v>
      </c>
      <c r="J55" s="29" t="s">
        <v>90</v>
      </c>
    </row>
    <row r="56" customFormat="false" ht="15" hidden="false" customHeight="false" outlineLevel="0" collapsed="false">
      <c r="B56" s="19" t="s">
        <v>175</v>
      </c>
      <c r="C56" s="26" t="s">
        <v>176</v>
      </c>
      <c r="D56" s="27" t="n">
        <v>44354</v>
      </c>
      <c r="E56" s="28" t="n">
        <v>4.99</v>
      </c>
      <c r="F56" s="29" t="s">
        <v>86</v>
      </c>
      <c r="G56" s="30" t="s">
        <v>177</v>
      </c>
      <c r="H56" s="31" t="s">
        <v>178</v>
      </c>
      <c r="I56" s="29" t="s">
        <v>179</v>
      </c>
      <c r="J56" s="29" t="s">
        <v>90</v>
      </c>
    </row>
    <row r="57" customFormat="false" ht="15" hidden="false" customHeight="false" outlineLevel="0" collapsed="false">
      <c r="B57" s="19" t="s">
        <v>175</v>
      </c>
      <c r="C57" s="26" t="s">
        <v>176</v>
      </c>
      <c r="D57" s="27" t="n">
        <v>45104</v>
      </c>
      <c r="E57" s="28" t="n">
        <v>5.99</v>
      </c>
      <c r="F57" s="29" t="s">
        <v>91</v>
      </c>
      <c r="G57" s="30" t="s">
        <v>180</v>
      </c>
      <c r="H57" s="31" t="s">
        <v>181</v>
      </c>
      <c r="I57" s="29" t="s">
        <v>182</v>
      </c>
      <c r="J57" s="32" t="s">
        <v>126</v>
      </c>
    </row>
    <row r="58" customFormat="false" ht="15" hidden="false" customHeight="false" outlineLevel="0" collapsed="false">
      <c r="B58" s="19" t="s">
        <v>175</v>
      </c>
      <c r="C58" s="26" t="s">
        <v>176</v>
      </c>
      <c r="D58" s="27" t="n">
        <v>45524</v>
      </c>
      <c r="E58" s="28" t="n">
        <v>7.99</v>
      </c>
      <c r="F58" s="29" t="s">
        <v>91</v>
      </c>
      <c r="G58" s="30" t="s">
        <v>183</v>
      </c>
      <c r="H58" s="31" t="s">
        <v>181</v>
      </c>
      <c r="I58" s="29" t="s">
        <v>182</v>
      </c>
      <c r="J58" s="29" t="s">
        <v>90</v>
      </c>
    </row>
    <row r="59" customFormat="false" ht="15" hidden="false" customHeight="false" outlineLevel="0" collapsed="false">
      <c r="B59" s="19" t="s">
        <v>175</v>
      </c>
      <c r="C59" s="26" t="s">
        <v>176</v>
      </c>
      <c r="D59" s="27" t="n">
        <v>46037</v>
      </c>
      <c r="E59" s="28" t="n">
        <v>8.99</v>
      </c>
      <c r="F59" s="29" t="s">
        <v>91</v>
      </c>
      <c r="G59" s="30" t="s">
        <v>184</v>
      </c>
      <c r="H59" s="31" t="s">
        <v>181</v>
      </c>
      <c r="I59" s="29" t="s">
        <v>182</v>
      </c>
      <c r="J59" s="29" t="s">
        <v>90</v>
      </c>
    </row>
    <row r="60" customFormat="false" ht="22.35" hidden="false" customHeight="false" outlineLevel="0" collapsed="false">
      <c r="B60" s="19" t="s">
        <v>175</v>
      </c>
      <c r="C60" s="26" t="s">
        <v>109</v>
      </c>
      <c r="D60" s="27" t="n">
        <v>44259</v>
      </c>
      <c r="E60" s="28" t="n">
        <v>9.99</v>
      </c>
      <c r="F60" s="29" t="s">
        <v>86</v>
      </c>
      <c r="G60" s="30" t="s">
        <v>185</v>
      </c>
      <c r="H60" s="31" t="s">
        <v>186</v>
      </c>
      <c r="I60" s="29" t="s">
        <v>179</v>
      </c>
      <c r="J60" s="29" t="s">
        <v>90</v>
      </c>
    </row>
    <row r="61" customFormat="false" ht="15" hidden="false" customHeight="false" outlineLevel="0" collapsed="false">
      <c r="B61" s="19" t="s">
        <v>175</v>
      </c>
      <c r="C61" s="26" t="s">
        <v>109</v>
      </c>
      <c r="D61" s="27" t="n">
        <v>45104</v>
      </c>
      <c r="E61" s="28" t="n">
        <v>11.99</v>
      </c>
      <c r="F61" s="29" t="s">
        <v>91</v>
      </c>
      <c r="G61" s="30" t="s">
        <v>187</v>
      </c>
      <c r="H61" s="31" t="s">
        <v>181</v>
      </c>
      <c r="I61" s="29" t="s">
        <v>182</v>
      </c>
      <c r="J61" s="32" t="s">
        <v>126</v>
      </c>
    </row>
    <row r="62" customFormat="false" ht="15" hidden="false" customHeight="false" outlineLevel="0" collapsed="false">
      <c r="B62" s="19" t="s">
        <v>175</v>
      </c>
      <c r="C62" s="26" t="s">
        <v>109</v>
      </c>
      <c r="D62" s="27" t="n">
        <v>45524</v>
      </c>
      <c r="E62" s="28" t="n">
        <v>12.99</v>
      </c>
      <c r="F62" s="29" t="s">
        <v>91</v>
      </c>
      <c r="G62" s="30" t="s">
        <v>188</v>
      </c>
      <c r="H62" s="31" t="s">
        <v>181</v>
      </c>
      <c r="I62" s="29" t="s">
        <v>182</v>
      </c>
      <c r="J62" s="29" t="s">
        <v>90</v>
      </c>
    </row>
    <row r="63" customFormat="false" ht="15" hidden="false" customHeight="false" outlineLevel="0" collapsed="false">
      <c r="B63" s="19" t="s">
        <v>175</v>
      </c>
      <c r="C63" s="26" t="s">
        <v>109</v>
      </c>
      <c r="D63" s="27" t="n">
        <v>46037</v>
      </c>
      <c r="E63" s="28" t="n">
        <v>13.99</v>
      </c>
      <c r="F63" s="29" t="s">
        <v>91</v>
      </c>
      <c r="G63" s="30" t="s">
        <v>189</v>
      </c>
      <c r="H63" s="31" t="s">
        <v>181</v>
      </c>
      <c r="I63" s="29" t="s">
        <v>182</v>
      </c>
      <c r="J63" s="29" t="s">
        <v>90</v>
      </c>
    </row>
    <row r="64" customFormat="false" ht="15" hidden="false" customHeight="false" outlineLevel="0" collapsed="false">
      <c r="B64" s="19" t="s">
        <v>190</v>
      </c>
      <c r="C64" s="26" t="s">
        <v>191</v>
      </c>
      <c r="D64" s="27" t="n">
        <v>44027</v>
      </c>
      <c r="E64" s="28" t="n">
        <v>9.99</v>
      </c>
      <c r="F64" s="29" t="s">
        <v>86</v>
      </c>
      <c r="G64" s="30" t="s">
        <v>192</v>
      </c>
      <c r="H64" s="31" t="s">
        <v>193</v>
      </c>
      <c r="I64" s="29" t="s">
        <v>194</v>
      </c>
      <c r="J64" s="29" t="s">
        <v>90</v>
      </c>
    </row>
    <row r="65" customFormat="false" ht="15" hidden="false" customHeight="false" outlineLevel="0" collapsed="false">
      <c r="B65" s="19" t="s">
        <v>190</v>
      </c>
      <c r="C65" s="26" t="s">
        <v>191</v>
      </c>
      <c r="D65" s="27" t="n">
        <v>45124</v>
      </c>
      <c r="E65" s="28" t="n">
        <v>11.99</v>
      </c>
      <c r="F65" s="29" t="s">
        <v>91</v>
      </c>
      <c r="G65" s="30" t="s">
        <v>195</v>
      </c>
      <c r="H65" s="31" t="s">
        <v>196</v>
      </c>
      <c r="I65" s="29" t="s">
        <v>197</v>
      </c>
      <c r="J65" s="29" t="s">
        <v>90</v>
      </c>
    </row>
    <row r="66" customFormat="false" ht="15" hidden="false" customHeight="false" outlineLevel="0" collapsed="false">
      <c r="B66" s="19" t="s">
        <v>190</v>
      </c>
      <c r="C66" s="26" t="s">
        <v>191</v>
      </c>
      <c r="D66" s="27" t="n">
        <v>45491</v>
      </c>
      <c r="E66" s="28" t="n">
        <v>13.99</v>
      </c>
      <c r="F66" s="29" t="s">
        <v>91</v>
      </c>
      <c r="G66" s="30" t="s">
        <v>198</v>
      </c>
      <c r="H66" s="31" t="s">
        <v>199</v>
      </c>
      <c r="I66" s="29" t="s">
        <v>200</v>
      </c>
      <c r="J66" s="29" t="s">
        <v>90</v>
      </c>
    </row>
    <row r="67" customFormat="false" ht="22.35" hidden="false" customHeight="false" outlineLevel="0" collapsed="false">
      <c r="B67" s="19" t="s">
        <v>190</v>
      </c>
      <c r="C67" s="26" t="s">
        <v>191</v>
      </c>
      <c r="D67" s="27" t="n">
        <v>45861</v>
      </c>
      <c r="E67" s="28" t="n">
        <v>16.99</v>
      </c>
      <c r="F67" s="29" t="s">
        <v>91</v>
      </c>
      <c r="G67" s="30" t="s">
        <v>201</v>
      </c>
      <c r="H67" s="31" t="s">
        <v>196</v>
      </c>
      <c r="I67" s="29" t="s">
        <v>197</v>
      </c>
      <c r="J67" s="29" t="s">
        <v>90</v>
      </c>
    </row>
    <row r="68" customFormat="false" ht="15" hidden="false" customHeight="false" outlineLevel="0" collapsed="false">
      <c r="B68" s="19" t="s">
        <v>190</v>
      </c>
      <c r="C68" s="26" t="s">
        <v>202</v>
      </c>
      <c r="D68" s="27" t="n">
        <v>44027</v>
      </c>
      <c r="E68" s="28" t="n">
        <v>4.99</v>
      </c>
      <c r="F68" s="29" t="s">
        <v>86</v>
      </c>
      <c r="G68" s="30" t="s">
        <v>192</v>
      </c>
      <c r="H68" s="31" t="s">
        <v>193</v>
      </c>
      <c r="I68" s="29" t="s">
        <v>194</v>
      </c>
      <c r="J68" s="29" t="s">
        <v>90</v>
      </c>
    </row>
    <row r="69" customFormat="false" ht="15" hidden="false" customHeight="false" outlineLevel="0" collapsed="false">
      <c r="B69" s="19" t="s">
        <v>190</v>
      </c>
      <c r="C69" s="26" t="s">
        <v>202</v>
      </c>
      <c r="D69" s="27" t="n">
        <v>45124</v>
      </c>
      <c r="E69" s="28" t="n">
        <v>5.99</v>
      </c>
      <c r="F69" s="29" t="s">
        <v>91</v>
      </c>
      <c r="G69" s="30" t="s">
        <v>203</v>
      </c>
      <c r="H69" s="31" t="s">
        <v>196</v>
      </c>
      <c r="I69" s="29" t="s">
        <v>197</v>
      </c>
      <c r="J69" s="29" t="s">
        <v>90</v>
      </c>
    </row>
    <row r="70" customFormat="false" ht="15" hidden="false" customHeight="false" outlineLevel="0" collapsed="false">
      <c r="B70" s="19" t="s">
        <v>190</v>
      </c>
      <c r="C70" s="26" t="s">
        <v>202</v>
      </c>
      <c r="D70" s="27" t="n">
        <v>45491</v>
      </c>
      <c r="E70" s="28" t="n">
        <v>7.99</v>
      </c>
      <c r="F70" s="29" t="s">
        <v>91</v>
      </c>
      <c r="G70" s="30" t="s">
        <v>198</v>
      </c>
      <c r="H70" s="31" t="s">
        <v>199</v>
      </c>
      <c r="I70" s="29" t="s">
        <v>200</v>
      </c>
      <c r="J70" s="29" t="s">
        <v>90</v>
      </c>
    </row>
    <row r="71" customFormat="false" ht="15" hidden="false" customHeight="false" outlineLevel="0" collapsed="false">
      <c r="B71" s="19" t="s">
        <v>190</v>
      </c>
      <c r="C71" s="26" t="s">
        <v>202</v>
      </c>
      <c r="D71" s="27" t="n">
        <v>45861</v>
      </c>
      <c r="E71" s="28" t="n">
        <v>10.99</v>
      </c>
      <c r="F71" s="29" t="s">
        <v>91</v>
      </c>
      <c r="G71" s="30" t="s">
        <v>204</v>
      </c>
      <c r="H71" s="31" t="s">
        <v>196</v>
      </c>
      <c r="I71" s="29" t="s">
        <v>197</v>
      </c>
      <c r="J71" s="29" t="s">
        <v>90</v>
      </c>
    </row>
    <row r="72" customFormat="false" ht="15" hidden="false" customHeight="false" outlineLevel="0" collapsed="false">
      <c r="B72" s="19" t="s">
        <v>190</v>
      </c>
      <c r="C72" s="26" t="s">
        <v>205</v>
      </c>
      <c r="D72" s="27" t="n">
        <v>45861</v>
      </c>
      <c r="E72" s="28" t="n">
        <v>7.99</v>
      </c>
      <c r="F72" s="29" t="s">
        <v>86</v>
      </c>
      <c r="G72" s="30" t="s">
        <v>206</v>
      </c>
      <c r="H72" s="31" t="s">
        <v>196</v>
      </c>
      <c r="I72" s="29" t="s">
        <v>197</v>
      </c>
      <c r="J72" s="29" t="s">
        <v>90</v>
      </c>
    </row>
    <row r="74" customFormat="false" ht="15" hidden="false" customHeight="false" outlineLevel="0" collapsed="false">
      <c r="B74" s="17" t="str">
        <f aca="false">"Records: "&amp;COUNTA(B6:B72)&amp;"   ·   Services: "&amp;SUMPRODUCT((COUNTIF(B6:B72,B6:B72)&gt;0)/COUNTIF(B6:B72,B6:B72))&amp;"   ·   As-of date: "&amp;TEXT('Price Analysis'!$C$4,"dd mmm yyyy")</f>
        <v>Records: 67   ·   Services: 8   ·   As-of date: 29 Jul 2026</v>
      </c>
      <c r="C74" s="17"/>
      <c r="D74" s="17"/>
      <c r="E74" s="17"/>
      <c r="F74" s="17"/>
      <c r="G74" s="17"/>
      <c r="H74" s="17"/>
      <c r="I74" s="17"/>
      <c r="J74" s="17"/>
    </row>
    <row r="75" customFormat="false" ht="15" hidden="false" customHeight="true" outlineLevel="0" collapsed="false">
      <c r="B75" s="33" t="s">
        <v>207</v>
      </c>
      <c r="C75" s="33"/>
      <c r="D75" s="33"/>
      <c r="E75" s="33"/>
      <c r="F75" s="33"/>
      <c r="G75" s="33"/>
      <c r="H75" s="33"/>
      <c r="I75" s="33"/>
      <c r="J75" s="33"/>
    </row>
    <row r="76" customFormat="false" ht="15" hidden="false" customHeight="false" outlineLevel="0" collapsed="false">
      <c r="B76" s="33"/>
      <c r="C76" s="33"/>
      <c r="D76" s="33"/>
      <c r="E76" s="33"/>
      <c r="F76" s="33"/>
      <c r="G76" s="33"/>
      <c r="H76" s="33"/>
      <c r="I76" s="33"/>
      <c r="J76" s="33"/>
    </row>
  </sheetData>
  <mergeCells count="4">
    <mergeCell ref="B2:J2"/>
    <mergeCell ref="B3:J3"/>
    <mergeCell ref="B74:J74"/>
    <mergeCell ref="B75:J76"/>
  </mergeCells>
  <hyperlinks>
    <hyperlink ref="H6" r:id="rId1" display="https://variety.com/2023/digital/news/apple-tv-plus-increases-monthly-price-1235768060/"/>
    <hyperlink ref="H7" r:id="rId2" display="https://variety.com/2023/digital/news/apple-tv-plus-increases-monthly-price-1235768060/"/>
    <hyperlink ref="H8" r:id="rId3" display="https://www.cnbc.com/2023/10/25/apple-raises-price-of-apple-tv-to-9point99-a-month.html"/>
    <hyperlink ref="H9" r:id="rId4" display="https://www.macrumors.com/2025/08/21/apple-tv-plus-price-increase-announced/"/>
    <hyperlink ref="H10" r:id="rId5" display="https://variety.com/2022/digital/news/disney-plus-ads-launch-price-increase-hulu-1235338148/"/>
    <hyperlink ref="H11" r:id="rId6" display="https://variety.com/2023/digital/news/disney-plus-price-increase-hulu-espn-plus-1235692057/"/>
    <hyperlink ref="H12" r:id="rId7" display="https://variety.com/2025/digital/news/disney-plus-hulu-price-increases-october-2025-1236527241/"/>
    <hyperlink ref="H13" r:id="rId8" display="https://variety.com/2023/digital/news/disney-plus-price-increase-hulu-espn-plus-1235692057/"/>
    <hyperlink ref="H14" r:id="rId9" display="https://www.tvline.com/news/disney-plus-with-ads-price-launch-date-hulu-cost-increase-1234860250/"/>
    <hyperlink ref="H15" r:id="rId10" display="https://variety.com/2022/digital/news/disney-plus-ads-launch-price-increase-hulu-1235338148/"/>
    <hyperlink ref="H16" r:id="rId11" display="https://www.nbcnews.com/business/business-news/disney-raise-monthly-price-ad-free-disney-1399-rcna99126"/>
    <hyperlink ref="H17" r:id="rId12" display="https://techcrunch.com/2025/09/23/disney-is-raising-the-price-of-disney-hulu-subscriptions-next-month/"/>
    <hyperlink ref="H18" r:id="rId13" display="https://techcrunch.com/2025/09/23/disney-is-raising-the-price-of-disney-hulu-subscriptions-next-month/"/>
    <hyperlink ref="H19" r:id="rId14" display="https://variety.com/2022/digital/news/disney-plus-ads-launch-price-increase-hulu-1235338148/"/>
    <hyperlink ref="H20" r:id="rId15" display="https://variety.com/2022/digital/news/disney-plus-ads-launch-price-increase-hulu-1235338148/"/>
    <hyperlink ref="H21" r:id="rId16" display="https://variety.com/2022/digital/news/disney-plus-ads-launch-price-increase-hulu-1235338148/"/>
    <hyperlink ref="H22" r:id="rId17" display="https://variety.com/2022/digital/news/disney-plus-ads-launch-price-increase-hulu-1235338148/"/>
    <hyperlink ref="H23" r:id="rId18" display="https://variety.com/2022/digital/news/disney-plus-ads-launch-price-increase-hulu-1235338148/"/>
    <hyperlink ref="H24" r:id="rId19" display="https://variety.com/2023/digital/news/disney-plus-price-increase-hulu-espn-plus-1235692057/"/>
    <hyperlink ref="H25" r:id="rId20" display="https://variety.com/2025/digital/news/disney-plus-hulu-price-increases-october-2025-1236527241/"/>
    <hyperlink ref="H26" r:id="rId21" display="https://www.cnbc.com/2025/10/21/hbo-max-raising-prices-all-plans.html"/>
    <hyperlink ref="H27" r:id="rId22" display="https://help.hbomax.com/US/Answer/Detail/000002580"/>
    <hyperlink ref="H28" r:id="rId23" display="https://variety.com/2025/tv/news/hbo-max-prices-increases-plans-2025-1236557671/"/>
    <hyperlink ref="H29" r:id="rId24" display="https://www.cnbc.com/2025/10/21/hbo-max-raising-prices-all-plans.html"/>
    <hyperlink ref="H30" r:id="rId25" display="https://www.cnbc.com/2025/10/21/hbo-max-raising-prices-all-plans.html"/>
    <hyperlink ref="H31" r:id="rId26" display="https://www.cnbc.com/2025/10/21/hbo-max-raising-prices-all-plans.html"/>
    <hyperlink ref="H32" r:id="rId27" display="https://www.cnbc.com/2025/10/21/hbo-max-raising-prices-all-plans.html"/>
    <hyperlink ref="H33" r:id="rId28" display="https://streamingpricetracker.com/history/"/>
    <hyperlink ref="H34" r:id="rId29" display="https://variety.com/2022/digital/news/disney-plus-ads-launch-price-increase-hulu-1235338148/"/>
    <hyperlink ref="H35" r:id="rId30" display="https://www.nbcnews.com/business/business-news/disney-raise-monthly-price-ad-free-disney-1399-rcna99126"/>
    <hyperlink ref="H36" r:id="rId31" display="https://variety.com/2025/digital/news/disney-plus-hulu-price-increases-october-2025-1236527241/"/>
    <hyperlink ref="H37" r:id="rId32" display="https://streamingpricetracker.com/history/"/>
    <hyperlink ref="H38" r:id="rId33" display="https://www.tvline.com/news/disney-plus-with-ads-price-launch-date-hulu-cost-increase-1234860250/"/>
    <hyperlink ref="H39" r:id="rId34" display="https://variety.com/2022/digital/news/disney-plus-ads-launch-price-increase-hulu-1235338148/"/>
    <hyperlink ref="H40" r:id="rId35" display="https://variety.com/2023/digital/news/disney-plus-price-increase-hulu-espn-plus-1235692057/"/>
    <hyperlink ref="H41" r:id="rId36" display="https://techcrunch.com/2025/09/23/disney-is-raising-the-price-of-disney-hulu-subscriptions-next-month/"/>
    <hyperlink ref="H42" r:id="rId37" display="https://www.androidauthority.com/timeline-netflix-price-hikes-3463376/"/>
    <hyperlink ref="H43" r:id="rId38" display="https://www.androidauthority.com/timeline-netflix-price-hikes-3463376/"/>
    <hyperlink ref="H44" r:id="rId39" display="https://www.aol.com/news/netflix-raises-prices-u-plans-225007861.html"/>
    <hyperlink ref="H45" r:id="rId40" display="https://m.gsmarena.com/netflix_raises_prices_yet_again_after_squid_game_2_success-news-66199.php"/>
    <hyperlink ref="H46" r:id="rId41" display="https://www.nbcnews.com/business/consumer/netflix-hike-prices-standard-ad-supported-streaming-plans-rcna188716"/>
    <hyperlink ref="H47" r:id="rId42" display="https://variety.com/2026/tv/news/netflix-raising-prices-second-time-in-a-year-1236700999/"/>
    <hyperlink ref="H48" r:id="rId43" display="https://www.androidauthority.com/timeline-netflix-price-hikes-3463376/"/>
    <hyperlink ref="H49" r:id="rId44" display="https://www.androidauthority.com/timeline-netflix-price-hikes-3463376/"/>
    <hyperlink ref="H50" r:id="rId45" display="https://www.aol.com/news/netflix-raises-prices-u-plans-225007861.html"/>
    <hyperlink ref="H51" r:id="rId46" display="https://www.nbcnews.com/business/consumer/netflix-hike-prices-standard-ad-supported-streaming-plans-rcna188716"/>
    <hyperlink ref="H52" r:id="rId47" display="https://www.cnbc.com/2026/03/26/netflix-raises-prices-across-all-streaming-plans.html"/>
    <hyperlink ref="H53" r:id="rId48" display="https://m.gsmarena.com/netflix_raises_prices_yet_again_after_squid_game_2_success-news-66199.php"/>
    <hyperlink ref="H54" r:id="rId49" display="https://www.nbcnews.com/business/consumer/netflix-hike-prices-standard-ad-supported-streaming-plans-rcna188716"/>
    <hyperlink ref="H55" r:id="rId50" display="https://www.cnbc.com/2026/03/26/netflix-raises-prices-across-all-streaming-plans.html"/>
    <hyperlink ref="H56" r:id="rId51" display="https://techcrunch.com/2021/02/24/paramount-will-cost-4-99-per-month-with-ads/amp"/>
    <hyperlink ref="H57" r:id="rId52" display="https://variety.com/2025/tv/news/paramount-to-hike-prices-in-early-2026-1236574467/"/>
    <hyperlink ref="H58" r:id="rId53" display="https://variety.com/2025/tv/news/paramount-to-hike-prices-in-early-2026-1236574467/"/>
    <hyperlink ref="H59" r:id="rId54" display="https://variety.com/2025/tv/news/paramount-to-hike-prices-in-early-2026-1236574467/"/>
    <hyperlink ref="H60" r:id="rId55" display="https://variety.com/2021/digital/news/paramount-plus-content-lineup-price-availability-1234914434/"/>
    <hyperlink ref="H61" r:id="rId56" display="https://variety.com/2025/tv/news/paramount-to-hike-prices-in-early-2026-1236574467/"/>
    <hyperlink ref="H62" r:id="rId57" display="https://variety.com/2025/tv/news/paramount-to-hike-prices-in-early-2026-1236574467/"/>
    <hyperlink ref="H63" r:id="rId58" display="https://variety.com/2025/tv/news/paramount-to-hike-prices-in-early-2026-1236574467/"/>
    <hyperlink ref="H64" r:id="rId59" display="https://corporate.comcast.com/press/releases/peacock-launches-nationally-july-15-free-and-premium-tiers"/>
    <hyperlink ref="H65" r:id="rId60" display="https://www.aol.com/entertainment/nbcuniversal-peacock-hiking-prices-3-182638817.html"/>
    <hyperlink ref="H66" r:id="rId61" display="https://www.aol.com/entertainment/peacock-hiking-prices-second-time-163000678.html"/>
    <hyperlink ref="H67" r:id="rId62" display="https://www.aol.com/entertainment/nbcuniversal-peacock-hiking-prices-3-182638817.html"/>
    <hyperlink ref="H68" r:id="rId63" display="https://corporate.comcast.com/press/releases/peacock-launches-nationally-july-15-free-and-premium-tiers"/>
    <hyperlink ref="H69" r:id="rId64" display="https://www.aol.com/entertainment/nbcuniversal-peacock-hiking-prices-3-182638817.html"/>
    <hyperlink ref="H70" r:id="rId65" display="https://www.aol.com/entertainment/peacock-hiking-prices-second-time-163000678.html"/>
    <hyperlink ref="H71" r:id="rId66" display="https://www.aol.com/entertainment/nbcuniversal-peacock-hiking-prices-3-182638817.html"/>
    <hyperlink ref="H72" r:id="rId67" display="https://www.aol.com/entertainment/nbcuniversal-peacock-hiking-prices-3-182638817.html"/>
  </hyperlink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21"/>
    <col collapsed="false" customWidth="true" hidden="false" outlineLevel="0" max="4" min="4" style="0" width="11"/>
    <col collapsed="false" customWidth="true" hidden="false" outlineLevel="0" max="12" min="5" style="0" width="10"/>
  </cols>
  <sheetData>
    <row r="2" customFormat="false" ht="25.5" hidden="false" customHeight="true" outlineLevel="0" collapsed="false">
      <c r="B2" s="12" t="s">
        <v>208</v>
      </c>
      <c r="C2" s="12"/>
      <c r="D2" s="12"/>
      <c r="E2" s="12"/>
      <c r="F2" s="12"/>
      <c r="G2" s="12"/>
      <c r="H2" s="12"/>
      <c r="I2" s="12"/>
      <c r="J2" s="12"/>
      <c r="K2" s="12"/>
      <c r="L2" s="12"/>
      <c r="M2" s="12"/>
    </row>
    <row r="3" customFormat="false" ht="31.5" hidden="false" customHeight="true" outlineLevel="0" collapsed="false">
      <c r="B3" s="13" t="s">
        <v>209</v>
      </c>
      <c r="C3" s="13"/>
      <c r="D3" s="13"/>
      <c r="E3" s="13"/>
      <c r="F3" s="13"/>
      <c r="G3" s="13"/>
      <c r="H3" s="13"/>
      <c r="I3" s="13"/>
      <c r="J3" s="13"/>
      <c r="K3" s="13"/>
      <c r="L3" s="13"/>
      <c r="M3" s="13"/>
    </row>
    <row r="5" customFormat="false" ht="31.5" hidden="false" customHeight="true" outlineLevel="0" collapsed="false">
      <c r="B5" s="18" t="s">
        <v>46</v>
      </c>
      <c r="C5" s="18" t="s">
        <v>76</v>
      </c>
      <c r="D5" s="18" t="s">
        <v>210</v>
      </c>
      <c r="E5" s="18" t="s">
        <v>211</v>
      </c>
      <c r="F5" s="18" t="s">
        <v>212</v>
      </c>
      <c r="G5" s="18" t="s">
        <v>213</v>
      </c>
      <c r="H5" s="18" t="s">
        <v>214</v>
      </c>
      <c r="I5" s="18" t="s">
        <v>215</v>
      </c>
      <c r="J5" s="18" t="s">
        <v>216</v>
      </c>
      <c r="K5" s="18" t="s">
        <v>217</v>
      </c>
      <c r="L5" s="18" t="s">
        <v>218</v>
      </c>
    </row>
    <row r="6" customFormat="false" ht="15" hidden="false" customHeight="false" outlineLevel="0" collapsed="false">
      <c r="B6" s="19" t="s">
        <v>150</v>
      </c>
      <c r="C6" s="26" t="s">
        <v>85</v>
      </c>
      <c r="D6" s="29" t="s">
        <v>219</v>
      </c>
      <c r="E6" s="34" t="n">
        <f aca="false">IF(SUMPRODUCT(MAX(('Price History'!$B$6:$B$72=$B6)*('Price History'!$C$6:$C$72=$C6)*('Price History'!$D$6:$D$72&lt;=MIN(DATE(2019,12,31),'Price Analysis'!$C$4))*ROW('Price History'!$E$6:$E$72)))=0,"",INDEX('Price History'!$E$6:$E$72,SUMPRODUCT(MAX(('Price History'!$B$6:$B$72=$B6)*('Price History'!$C$6:$C$72=$C6)*('Price History'!$D$6:$D$72&lt;=MIN(DATE(2019,12,31),'Price Analysis'!$C$4))*ROW('Price History'!$E$6:$E$72)))-5))</f>
        <v>12.99</v>
      </c>
      <c r="F6" s="34" t="n">
        <f aca="false">IF(SUMPRODUCT(MAX(('Price History'!$B$6:$B$72=$B6)*('Price History'!$C$6:$C$72=$C6)*('Price History'!$D$6:$D$72&lt;=MIN(DATE(2020,12,31),'Price Analysis'!$C$4))*ROW('Price History'!$E$6:$E$72)))=0,"",INDEX('Price History'!$E$6:$E$72,SUMPRODUCT(MAX(('Price History'!$B$6:$B$72=$B6)*('Price History'!$C$6:$C$72=$C6)*('Price History'!$D$6:$D$72&lt;=MIN(DATE(2020,12,31),'Price Analysis'!$C$4))*ROW('Price History'!$E$6:$E$72)))-5))</f>
        <v>13.99</v>
      </c>
      <c r="G6" s="34" t="n">
        <f aca="false">IF(SUMPRODUCT(MAX(('Price History'!$B$6:$B$72=$B6)*('Price History'!$C$6:$C$72=$C6)*('Price History'!$D$6:$D$72&lt;=MIN(DATE(2021,12,31),'Price Analysis'!$C$4))*ROW('Price History'!$E$6:$E$72)))=0,"",INDEX('Price History'!$E$6:$E$72,SUMPRODUCT(MAX(('Price History'!$B$6:$B$72=$B6)*('Price History'!$C$6:$C$72=$C6)*('Price History'!$D$6:$D$72&lt;=MIN(DATE(2021,12,31),'Price Analysis'!$C$4))*ROW('Price History'!$E$6:$E$72)))-5))</f>
        <v>13.99</v>
      </c>
      <c r="H6" s="34" t="n">
        <f aca="false">IF(SUMPRODUCT(MAX(('Price History'!$B$6:$B$72=$B6)*('Price History'!$C$6:$C$72=$C6)*('Price History'!$D$6:$D$72&lt;=MIN(DATE(2022,12,31),'Price Analysis'!$C$4))*ROW('Price History'!$E$6:$E$72)))=0,"",INDEX('Price History'!$E$6:$E$72,SUMPRODUCT(MAX(('Price History'!$B$6:$B$72=$B6)*('Price History'!$C$6:$C$72=$C6)*('Price History'!$D$6:$D$72&lt;=MIN(DATE(2022,12,31),'Price Analysis'!$C$4))*ROW('Price History'!$E$6:$E$72)))-5))</f>
        <v>15.49</v>
      </c>
      <c r="I6" s="34" t="n">
        <f aca="false">IF(SUMPRODUCT(MAX(('Price History'!$B$6:$B$72=$B6)*('Price History'!$C$6:$C$72=$C6)*('Price History'!$D$6:$D$72&lt;=MIN(DATE(2023,12,31),'Price Analysis'!$C$4))*ROW('Price History'!$E$6:$E$72)))=0,"",INDEX('Price History'!$E$6:$E$72,SUMPRODUCT(MAX(('Price History'!$B$6:$B$72=$B6)*('Price History'!$C$6:$C$72=$C6)*('Price History'!$D$6:$D$72&lt;=MIN(DATE(2023,12,31),'Price Analysis'!$C$4))*ROW('Price History'!$E$6:$E$72)))-5))</f>
        <v>15.49</v>
      </c>
      <c r="J6" s="34" t="n">
        <f aca="false">IF(SUMPRODUCT(MAX(('Price History'!$B$6:$B$72=$B6)*('Price History'!$C$6:$C$72=$C6)*('Price History'!$D$6:$D$72&lt;=MIN(DATE(2024,12,31),'Price Analysis'!$C$4))*ROW('Price History'!$E$6:$E$72)))=0,"",INDEX('Price History'!$E$6:$E$72,SUMPRODUCT(MAX(('Price History'!$B$6:$B$72=$B6)*('Price History'!$C$6:$C$72=$C6)*('Price History'!$D$6:$D$72&lt;=MIN(DATE(2024,12,31),'Price Analysis'!$C$4))*ROW('Price History'!$E$6:$E$72)))-5))</f>
        <v>15.49</v>
      </c>
      <c r="K6" s="34" t="n">
        <f aca="false">IF(SUMPRODUCT(MAX(('Price History'!$B$6:$B$72=$B6)*('Price History'!$C$6:$C$72=$C6)*('Price History'!$D$6:$D$72&lt;=MIN(DATE(2025,12,31),'Price Analysis'!$C$4))*ROW('Price History'!$E$6:$E$72)))=0,"",INDEX('Price History'!$E$6:$E$72,SUMPRODUCT(MAX(('Price History'!$B$6:$B$72=$B6)*('Price History'!$C$6:$C$72=$C6)*('Price History'!$D$6:$D$72&lt;=MIN(DATE(2025,12,31),'Price Analysis'!$C$4))*ROW('Price History'!$E$6:$E$72)))-5))</f>
        <v>17.99</v>
      </c>
      <c r="L6" s="34" t="n">
        <f aca="false">IF(SUMPRODUCT(MAX(('Price History'!$B$6:$B$72=$B6)*('Price History'!$C$6:$C$72=$C6)*('Price History'!$D$6:$D$72&lt;=MIN(DATE(2026,12,31),'Price Analysis'!$C$4))*ROW('Price History'!$E$6:$E$72)))=0,"",INDEX('Price History'!$E$6:$E$72,SUMPRODUCT(MAX(('Price History'!$B$6:$B$72=$B6)*('Price History'!$C$6:$C$72=$C6)*('Price History'!$D$6:$D$72&lt;=MIN(DATE(2026,12,31),'Price Analysis'!$C$4))*ROW('Price History'!$E$6:$E$72)))-5))</f>
        <v>19.99</v>
      </c>
    </row>
    <row r="7" customFormat="false" ht="15" hidden="false" customHeight="false" outlineLevel="0" collapsed="false">
      <c r="B7" s="19" t="s">
        <v>98</v>
      </c>
      <c r="C7" s="26" t="s">
        <v>109</v>
      </c>
      <c r="D7" s="29" t="s">
        <v>219</v>
      </c>
      <c r="E7" s="34" t="n">
        <f aca="false">IF(SUMPRODUCT(MAX(('Price History'!$B$6:$B$72=$B7)*('Price History'!$C$6:$C$72=$C7)*('Price History'!$D$6:$D$72&lt;=MIN(DATE(2019,12,31),'Price Analysis'!$C$4))*ROW('Price History'!$E$6:$E$72)))=0,"",INDEX('Price History'!$E$6:$E$72,SUMPRODUCT(MAX(('Price History'!$B$6:$B$72=$B7)*('Price History'!$C$6:$C$72=$C7)*('Price History'!$D$6:$D$72&lt;=MIN(DATE(2019,12,31),'Price Analysis'!$C$4))*ROW('Price History'!$E$6:$E$72)))-5))</f>
        <v>6.99</v>
      </c>
      <c r="F7" s="34" t="n">
        <f aca="false">IF(SUMPRODUCT(MAX(('Price History'!$B$6:$B$72=$B7)*('Price History'!$C$6:$C$72=$C7)*('Price History'!$D$6:$D$72&lt;=MIN(DATE(2020,12,31),'Price Analysis'!$C$4))*ROW('Price History'!$E$6:$E$72)))=0,"",INDEX('Price History'!$E$6:$E$72,SUMPRODUCT(MAX(('Price History'!$B$6:$B$72=$B7)*('Price History'!$C$6:$C$72=$C7)*('Price History'!$D$6:$D$72&lt;=MIN(DATE(2020,12,31),'Price Analysis'!$C$4))*ROW('Price History'!$E$6:$E$72)))-5))</f>
        <v>6.99</v>
      </c>
      <c r="G7" s="34" t="n">
        <f aca="false">IF(SUMPRODUCT(MAX(('Price History'!$B$6:$B$72=$B7)*('Price History'!$C$6:$C$72=$C7)*('Price History'!$D$6:$D$72&lt;=MIN(DATE(2021,12,31),'Price Analysis'!$C$4))*ROW('Price History'!$E$6:$E$72)))=0,"",INDEX('Price History'!$E$6:$E$72,SUMPRODUCT(MAX(('Price History'!$B$6:$B$72=$B7)*('Price History'!$C$6:$C$72=$C7)*('Price History'!$D$6:$D$72&lt;=MIN(DATE(2021,12,31),'Price Analysis'!$C$4))*ROW('Price History'!$E$6:$E$72)))-5))</f>
        <v>7.99</v>
      </c>
      <c r="H7" s="34" t="n">
        <f aca="false">IF(SUMPRODUCT(MAX(('Price History'!$B$6:$B$72=$B7)*('Price History'!$C$6:$C$72=$C7)*('Price History'!$D$6:$D$72&lt;=MIN(DATE(2022,12,31),'Price Analysis'!$C$4))*ROW('Price History'!$E$6:$E$72)))=0,"",INDEX('Price History'!$E$6:$E$72,SUMPRODUCT(MAX(('Price History'!$B$6:$B$72=$B7)*('Price History'!$C$6:$C$72=$C7)*('Price History'!$D$6:$D$72&lt;=MIN(DATE(2022,12,31),'Price Analysis'!$C$4))*ROW('Price History'!$E$6:$E$72)))-5))</f>
        <v>10.99</v>
      </c>
      <c r="I7" s="34" t="n">
        <f aca="false">IF(SUMPRODUCT(MAX(('Price History'!$B$6:$B$72=$B7)*('Price History'!$C$6:$C$72=$C7)*('Price History'!$D$6:$D$72&lt;=MIN(DATE(2023,12,31),'Price Analysis'!$C$4))*ROW('Price History'!$E$6:$E$72)))=0,"",INDEX('Price History'!$E$6:$E$72,SUMPRODUCT(MAX(('Price History'!$B$6:$B$72=$B7)*('Price History'!$C$6:$C$72=$C7)*('Price History'!$D$6:$D$72&lt;=MIN(DATE(2023,12,31),'Price Analysis'!$C$4))*ROW('Price History'!$E$6:$E$72)))-5))</f>
        <v>13.99</v>
      </c>
      <c r="J7" s="34" t="n">
        <f aca="false">IF(SUMPRODUCT(MAX(('Price History'!$B$6:$B$72=$B7)*('Price History'!$C$6:$C$72=$C7)*('Price History'!$D$6:$D$72&lt;=MIN(DATE(2024,12,31),'Price Analysis'!$C$4))*ROW('Price History'!$E$6:$E$72)))=0,"",INDEX('Price History'!$E$6:$E$72,SUMPRODUCT(MAX(('Price History'!$B$6:$B$72=$B7)*('Price History'!$C$6:$C$72=$C7)*('Price History'!$D$6:$D$72&lt;=MIN(DATE(2024,12,31),'Price Analysis'!$C$4))*ROW('Price History'!$E$6:$E$72)))-5))</f>
        <v>15.99</v>
      </c>
      <c r="K7" s="34" t="n">
        <f aca="false">IF(SUMPRODUCT(MAX(('Price History'!$B$6:$B$72=$B7)*('Price History'!$C$6:$C$72=$C7)*('Price History'!$D$6:$D$72&lt;=MIN(DATE(2025,12,31),'Price Analysis'!$C$4))*ROW('Price History'!$E$6:$E$72)))=0,"",INDEX('Price History'!$E$6:$E$72,SUMPRODUCT(MAX(('Price History'!$B$6:$B$72=$B7)*('Price History'!$C$6:$C$72=$C7)*('Price History'!$D$6:$D$72&lt;=MIN(DATE(2025,12,31),'Price Analysis'!$C$4))*ROW('Price History'!$E$6:$E$72)))-5))</f>
        <v>18.99</v>
      </c>
      <c r="L7" s="34" t="n">
        <f aca="false">IF(SUMPRODUCT(MAX(('Price History'!$B$6:$B$72=$B7)*('Price History'!$C$6:$C$72=$C7)*('Price History'!$D$6:$D$72&lt;=MIN(DATE(2026,12,31),'Price Analysis'!$C$4))*ROW('Price History'!$E$6:$E$72)))=0,"",INDEX('Price History'!$E$6:$E$72,SUMPRODUCT(MAX(('Price History'!$B$6:$B$72=$B7)*('Price History'!$C$6:$C$72=$C7)*('Price History'!$D$6:$D$72&lt;=MIN(DATE(2026,12,31),'Price Analysis'!$C$4))*ROW('Price History'!$E$6:$E$72)))-5))</f>
        <v>18.99</v>
      </c>
    </row>
    <row r="8" customFormat="false" ht="15" hidden="false" customHeight="false" outlineLevel="0" collapsed="false">
      <c r="B8" s="19" t="s">
        <v>141</v>
      </c>
      <c r="C8" s="26" t="s">
        <v>142</v>
      </c>
      <c r="D8" s="29" t="s">
        <v>219</v>
      </c>
      <c r="E8" s="34" t="n">
        <f aca="false">IF(SUMPRODUCT(MAX(('Price History'!$B$6:$B$72=$B8)*('Price History'!$C$6:$C$72=$C8)*('Price History'!$D$6:$D$72&lt;=MIN(DATE(2019,12,31),'Price Analysis'!$C$4))*ROW('Price History'!$E$6:$E$72)))=0,"",INDEX('Price History'!$E$6:$E$72,SUMPRODUCT(MAX(('Price History'!$B$6:$B$72=$B8)*('Price History'!$C$6:$C$72=$C8)*('Price History'!$D$6:$D$72&lt;=MIN(DATE(2019,12,31),'Price Analysis'!$C$4))*ROW('Price History'!$E$6:$E$72)))-5))</f>
        <v>11.99</v>
      </c>
      <c r="F8" s="34" t="n">
        <f aca="false">IF(SUMPRODUCT(MAX(('Price History'!$B$6:$B$72=$B8)*('Price History'!$C$6:$C$72=$C8)*('Price History'!$D$6:$D$72&lt;=MIN(DATE(2020,12,31),'Price Analysis'!$C$4))*ROW('Price History'!$E$6:$E$72)))=0,"",INDEX('Price History'!$E$6:$E$72,SUMPRODUCT(MAX(('Price History'!$B$6:$B$72=$B8)*('Price History'!$C$6:$C$72=$C8)*('Price History'!$D$6:$D$72&lt;=MIN(DATE(2020,12,31),'Price Analysis'!$C$4))*ROW('Price History'!$E$6:$E$72)))-5))</f>
        <v>11.99</v>
      </c>
      <c r="G8" s="34" t="n">
        <f aca="false">IF(SUMPRODUCT(MAX(('Price History'!$B$6:$B$72=$B8)*('Price History'!$C$6:$C$72=$C8)*('Price History'!$D$6:$D$72&lt;=MIN(DATE(2021,12,31),'Price Analysis'!$C$4))*ROW('Price History'!$E$6:$E$72)))=0,"",INDEX('Price History'!$E$6:$E$72,SUMPRODUCT(MAX(('Price History'!$B$6:$B$72=$B8)*('Price History'!$C$6:$C$72=$C8)*('Price History'!$D$6:$D$72&lt;=MIN(DATE(2021,12,31),'Price Analysis'!$C$4))*ROW('Price History'!$E$6:$E$72)))-5))</f>
        <v>11.99</v>
      </c>
      <c r="H8" s="34" t="n">
        <f aca="false">IF(SUMPRODUCT(MAX(('Price History'!$B$6:$B$72=$B8)*('Price History'!$C$6:$C$72=$C8)*('Price History'!$D$6:$D$72&lt;=MIN(DATE(2022,12,31),'Price Analysis'!$C$4))*ROW('Price History'!$E$6:$E$72)))=0,"",INDEX('Price History'!$E$6:$E$72,SUMPRODUCT(MAX(('Price History'!$B$6:$B$72=$B8)*('Price History'!$C$6:$C$72=$C8)*('Price History'!$D$6:$D$72&lt;=MIN(DATE(2022,12,31),'Price Analysis'!$C$4))*ROW('Price History'!$E$6:$E$72)))-5))</f>
        <v>14.99</v>
      </c>
      <c r="I8" s="34" t="n">
        <f aca="false">IF(SUMPRODUCT(MAX(('Price History'!$B$6:$B$72=$B8)*('Price History'!$C$6:$C$72=$C8)*('Price History'!$D$6:$D$72&lt;=MIN(DATE(2023,12,31),'Price Analysis'!$C$4))*ROW('Price History'!$E$6:$E$72)))=0,"",INDEX('Price History'!$E$6:$E$72,SUMPRODUCT(MAX(('Price History'!$B$6:$B$72=$B8)*('Price History'!$C$6:$C$72=$C8)*('Price History'!$D$6:$D$72&lt;=MIN(DATE(2023,12,31),'Price Analysis'!$C$4))*ROW('Price History'!$E$6:$E$72)))-5))</f>
        <v>17.99</v>
      </c>
      <c r="J8" s="34" t="n">
        <f aca="false">IF(SUMPRODUCT(MAX(('Price History'!$B$6:$B$72=$B8)*('Price History'!$C$6:$C$72=$C8)*('Price History'!$D$6:$D$72&lt;=MIN(DATE(2024,12,31),'Price Analysis'!$C$4))*ROW('Price History'!$E$6:$E$72)))=0,"",INDEX('Price History'!$E$6:$E$72,SUMPRODUCT(MAX(('Price History'!$B$6:$B$72=$B8)*('Price History'!$C$6:$C$72=$C8)*('Price History'!$D$6:$D$72&lt;=MIN(DATE(2024,12,31),'Price Analysis'!$C$4))*ROW('Price History'!$E$6:$E$72)))-5))</f>
        <v>18.99</v>
      </c>
      <c r="K8" s="34" t="n">
        <f aca="false">IF(SUMPRODUCT(MAX(('Price History'!$B$6:$B$72=$B8)*('Price History'!$C$6:$C$72=$C8)*('Price History'!$D$6:$D$72&lt;=MIN(DATE(2025,12,31),'Price Analysis'!$C$4))*ROW('Price History'!$E$6:$E$72)))=0,"",INDEX('Price History'!$E$6:$E$72,SUMPRODUCT(MAX(('Price History'!$B$6:$B$72=$B8)*('Price History'!$C$6:$C$72=$C8)*('Price History'!$D$6:$D$72&lt;=MIN(DATE(2025,12,31),'Price Analysis'!$C$4))*ROW('Price History'!$E$6:$E$72)))-5))</f>
        <v>18.99</v>
      </c>
      <c r="L8" s="34" t="n">
        <f aca="false">IF(SUMPRODUCT(MAX(('Price History'!$B$6:$B$72=$B8)*('Price History'!$C$6:$C$72=$C8)*('Price History'!$D$6:$D$72&lt;=MIN(DATE(2026,12,31),'Price Analysis'!$C$4))*ROW('Price History'!$E$6:$E$72)))=0,"",INDEX('Price History'!$E$6:$E$72,SUMPRODUCT(MAX(('Price History'!$B$6:$B$72=$B8)*('Price History'!$C$6:$C$72=$C8)*('Price History'!$D$6:$D$72&lt;=MIN(DATE(2026,12,31),'Price Analysis'!$C$4))*ROW('Price History'!$E$6:$E$72)))-5))</f>
        <v>18.99</v>
      </c>
    </row>
    <row r="9" customFormat="false" ht="15" hidden="false" customHeight="false" outlineLevel="0" collapsed="false">
      <c r="B9" s="19" t="s">
        <v>129</v>
      </c>
      <c r="C9" s="26" t="s">
        <v>85</v>
      </c>
      <c r="D9" s="29" t="s">
        <v>219</v>
      </c>
      <c r="E9" s="34" t="str">
        <f aca="false">IF(SUMPRODUCT(MAX(('Price History'!$B$6:$B$72=$B9)*('Price History'!$C$6:$C$72=$C9)*('Price History'!$D$6:$D$72&lt;=MIN(DATE(2019,12,31),'Price Analysis'!$C$4))*ROW('Price History'!$E$6:$E$72)))=0,"",INDEX('Price History'!$E$6:$E$72,SUMPRODUCT(MAX(('Price History'!$B$6:$B$72=$B9)*('Price History'!$C$6:$C$72=$C9)*('Price History'!$D$6:$D$72&lt;=MIN(DATE(2019,12,31),'Price Analysis'!$C$4))*ROW('Price History'!$E$6:$E$72)))-5))</f>
        <v/>
      </c>
      <c r="F9" s="34" t="n">
        <f aca="false">IF(SUMPRODUCT(MAX(('Price History'!$B$6:$B$72=$B9)*('Price History'!$C$6:$C$72=$C9)*('Price History'!$D$6:$D$72&lt;=MIN(DATE(2020,12,31),'Price Analysis'!$C$4))*ROW('Price History'!$E$6:$E$72)))=0,"",INDEX('Price History'!$E$6:$E$72,SUMPRODUCT(MAX(('Price History'!$B$6:$B$72=$B9)*('Price History'!$C$6:$C$72=$C9)*('Price History'!$D$6:$D$72&lt;=MIN(DATE(2020,12,31),'Price Analysis'!$C$4))*ROW('Price History'!$E$6:$E$72)))-5))</f>
        <v>14.99</v>
      </c>
      <c r="G9" s="34" t="n">
        <f aca="false">IF(SUMPRODUCT(MAX(('Price History'!$B$6:$B$72=$B9)*('Price History'!$C$6:$C$72=$C9)*('Price History'!$D$6:$D$72&lt;=MIN(DATE(2021,12,31),'Price Analysis'!$C$4))*ROW('Price History'!$E$6:$E$72)))=0,"",INDEX('Price History'!$E$6:$E$72,SUMPRODUCT(MAX(('Price History'!$B$6:$B$72=$B9)*('Price History'!$C$6:$C$72=$C9)*('Price History'!$D$6:$D$72&lt;=MIN(DATE(2021,12,31),'Price Analysis'!$C$4))*ROW('Price History'!$E$6:$E$72)))-5))</f>
        <v>14.99</v>
      </c>
      <c r="H9" s="34" t="n">
        <f aca="false">IF(SUMPRODUCT(MAX(('Price History'!$B$6:$B$72=$B9)*('Price History'!$C$6:$C$72=$C9)*('Price History'!$D$6:$D$72&lt;=MIN(DATE(2022,12,31),'Price Analysis'!$C$4))*ROW('Price History'!$E$6:$E$72)))=0,"",INDEX('Price History'!$E$6:$E$72,SUMPRODUCT(MAX(('Price History'!$B$6:$B$72=$B9)*('Price History'!$C$6:$C$72=$C9)*('Price History'!$D$6:$D$72&lt;=MIN(DATE(2022,12,31),'Price Analysis'!$C$4))*ROW('Price History'!$E$6:$E$72)))-5))</f>
        <v>14.99</v>
      </c>
      <c r="I9" s="34" t="n">
        <f aca="false">IF(SUMPRODUCT(MAX(('Price History'!$B$6:$B$72=$B9)*('Price History'!$C$6:$C$72=$C9)*('Price History'!$D$6:$D$72&lt;=MIN(DATE(2023,12,31),'Price Analysis'!$C$4))*ROW('Price History'!$E$6:$E$72)))=0,"",INDEX('Price History'!$E$6:$E$72,SUMPRODUCT(MAX(('Price History'!$B$6:$B$72=$B9)*('Price History'!$C$6:$C$72=$C9)*('Price History'!$D$6:$D$72&lt;=MIN(DATE(2023,12,31),'Price Analysis'!$C$4))*ROW('Price History'!$E$6:$E$72)))-5))</f>
        <v>15.99</v>
      </c>
      <c r="J9" s="34" t="n">
        <f aca="false">IF(SUMPRODUCT(MAX(('Price History'!$B$6:$B$72=$B9)*('Price History'!$C$6:$C$72=$C9)*('Price History'!$D$6:$D$72&lt;=MIN(DATE(2024,12,31),'Price Analysis'!$C$4))*ROW('Price History'!$E$6:$E$72)))=0,"",INDEX('Price History'!$E$6:$E$72,SUMPRODUCT(MAX(('Price History'!$B$6:$B$72=$B9)*('Price History'!$C$6:$C$72=$C9)*('Price History'!$D$6:$D$72&lt;=MIN(DATE(2024,12,31),'Price Analysis'!$C$4))*ROW('Price History'!$E$6:$E$72)))-5))</f>
        <v>16.99</v>
      </c>
      <c r="K9" s="34" t="n">
        <f aca="false">IF(SUMPRODUCT(MAX(('Price History'!$B$6:$B$72=$B9)*('Price History'!$C$6:$C$72=$C9)*('Price History'!$D$6:$D$72&lt;=MIN(DATE(2025,12,31),'Price Analysis'!$C$4))*ROW('Price History'!$E$6:$E$72)))=0,"",INDEX('Price History'!$E$6:$E$72,SUMPRODUCT(MAX(('Price History'!$B$6:$B$72=$B9)*('Price History'!$C$6:$C$72=$C9)*('Price History'!$D$6:$D$72&lt;=MIN(DATE(2025,12,31),'Price Analysis'!$C$4))*ROW('Price History'!$E$6:$E$72)))-5))</f>
        <v>18.49</v>
      </c>
      <c r="L9" s="34" t="n">
        <f aca="false">IF(SUMPRODUCT(MAX(('Price History'!$B$6:$B$72=$B9)*('Price History'!$C$6:$C$72=$C9)*('Price History'!$D$6:$D$72&lt;=MIN(DATE(2026,12,31),'Price Analysis'!$C$4))*ROW('Price History'!$E$6:$E$72)))=0,"",INDEX('Price History'!$E$6:$E$72,SUMPRODUCT(MAX(('Price History'!$B$6:$B$72=$B9)*('Price History'!$C$6:$C$72=$C9)*('Price History'!$D$6:$D$72&lt;=MIN(DATE(2026,12,31),'Price Analysis'!$C$4))*ROW('Price History'!$E$6:$E$72)))-5))</f>
        <v>18.49</v>
      </c>
    </row>
    <row r="10" customFormat="false" ht="15" hidden="false" customHeight="false" outlineLevel="0" collapsed="false">
      <c r="B10" s="19" t="s">
        <v>190</v>
      </c>
      <c r="C10" s="26" t="s">
        <v>191</v>
      </c>
      <c r="D10" s="29" t="s">
        <v>219</v>
      </c>
      <c r="E10" s="34" t="str">
        <f aca="false">IF(SUMPRODUCT(MAX(('Price History'!$B$6:$B$72=$B10)*('Price History'!$C$6:$C$72=$C10)*('Price History'!$D$6:$D$72&lt;=MIN(DATE(2019,12,31),'Price Analysis'!$C$4))*ROW('Price History'!$E$6:$E$72)))=0,"",INDEX('Price History'!$E$6:$E$72,SUMPRODUCT(MAX(('Price History'!$B$6:$B$72=$B10)*('Price History'!$C$6:$C$72=$C10)*('Price History'!$D$6:$D$72&lt;=MIN(DATE(2019,12,31),'Price Analysis'!$C$4))*ROW('Price History'!$E$6:$E$72)))-5))</f>
        <v/>
      </c>
      <c r="F10" s="34" t="n">
        <f aca="false">IF(SUMPRODUCT(MAX(('Price History'!$B$6:$B$72=$B10)*('Price History'!$C$6:$C$72=$C10)*('Price History'!$D$6:$D$72&lt;=MIN(DATE(2020,12,31),'Price Analysis'!$C$4))*ROW('Price History'!$E$6:$E$72)))=0,"",INDEX('Price History'!$E$6:$E$72,SUMPRODUCT(MAX(('Price History'!$B$6:$B$72=$B10)*('Price History'!$C$6:$C$72=$C10)*('Price History'!$D$6:$D$72&lt;=MIN(DATE(2020,12,31),'Price Analysis'!$C$4))*ROW('Price History'!$E$6:$E$72)))-5))</f>
        <v>9.99</v>
      </c>
      <c r="G10" s="34" t="n">
        <f aca="false">IF(SUMPRODUCT(MAX(('Price History'!$B$6:$B$72=$B10)*('Price History'!$C$6:$C$72=$C10)*('Price History'!$D$6:$D$72&lt;=MIN(DATE(2021,12,31),'Price Analysis'!$C$4))*ROW('Price History'!$E$6:$E$72)))=0,"",INDEX('Price History'!$E$6:$E$72,SUMPRODUCT(MAX(('Price History'!$B$6:$B$72=$B10)*('Price History'!$C$6:$C$72=$C10)*('Price History'!$D$6:$D$72&lt;=MIN(DATE(2021,12,31),'Price Analysis'!$C$4))*ROW('Price History'!$E$6:$E$72)))-5))</f>
        <v>9.99</v>
      </c>
      <c r="H10" s="34" t="n">
        <f aca="false">IF(SUMPRODUCT(MAX(('Price History'!$B$6:$B$72=$B10)*('Price History'!$C$6:$C$72=$C10)*('Price History'!$D$6:$D$72&lt;=MIN(DATE(2022,12,31),'Price Analysis'!$C$4))*ROW('Price History'!$E$6:$E$72)))=0,"",INDEX('Price History'!$E$6:$E$72,SUMPRODUCT(MAX(('Price History'!$B$6:$B$72=$B10)*('Price History'!$C$6:$C$72=$C10)*('Price History'!$D$6:$D$72&lt;=MIN(DATE(2022,12,31),'Price Analysis'!$C$4))*ROW('Price History'!$E$6:$E$72)))-5))</f>
        <v>9.99</v>
      </c>
      <c r="I10" s="34" t="n">
        <f aca="false">IF(SUMPRODUCT(MAX(('Price History'!$B$6:$B$72=$B10)*('Price History'!$C$6:$C$72=$C10)*('Price History'!$D$6:$D$72&lt;=MIN(DATE(2023,12,31),'Price Analysis'!$C$4))*ROW('Price History'!$E$6:$E$72)))=0,"",INDEX('Price History'!$E$6:$E$72,SUMPRODUCT(MAX(('Price History'!$B$6:$B$72=$B10)*('Price History'!$C$6:$C$72=$C10)*('Price History'!$D$6:$D$72&lt;=MIN(DATE(2023,12,31),'Price Analysis'!$C$4))*ROW('Price History'!$E$6:$E$72)))-5))</f>
        <v>11.99</v>
      </c>
      <c r="J10" s="34" t="n">
        <f aca="false">IF(SUMPRODUCT(MAX(('Price History'!$B$6:$B$72=$B10)*('Price History'!$C$6:$C$72=$C10)*('Price History'!$D$6:$D$72&lt;=MIN(DATE(2024,12,31),'Price Analysis'!$C$4))*ROW('Price History'!$E$6:$E$72)))=0,"",INDEX('Price History'!$E$6:$E$72,SUMPRODUCT(MAX(('Price History'!$B$6:$B$72=$B10)*('Price History'!$C$6:$C$72=$C10)*('Price History'!$D$6:$D$72&lt;=MIN(DATE(2024,12,31),'Price Analysis'!$C$4))*ROW('Price History'!$E$6:$E$72)))-5))</f>
        <v>13.99</v>
      </c>
      <c r="K10" s="34" t="n">
        <f aca="false">IF(SUMPRODUCT(MAX(('Price History'!$B$6:$B$72=$B10)*('Price History'!$C$6:$C$72=$C10)*('Price History'!$D$6:$D$72&lt;=MIN(DATE(2025,12,31),'Price Analysis'!$C$4))*ROW('Price History'!$E$6:$E$72)))=0,"",INDEX('Price History'!$E$6:$E$72,SUMPRODUCT(MAX(('Price History'!$B$6:$B$72=$B10)*('Price History'!$C$6:$C$72=$C10)*('Price History'!$D$6:$D$72&lt;=MIN(DATE(2025,12,31),'Price Analysis'!$C$4))*ROW('Price History'!$E$6:$E$72)))-5))</f>
        <v>16.99</v>
      </c>
      <c r="L10" s="34" t="n">
        <f aca="false">IF(SUMPRODUCT(MAX(('Price History'!$B$6:$B$72=$B10)*('Price History'!$C$6:$C$72=$C10)*('Price History'!$D$6:$D$72&lt;=MIN(DATE(2026,12,31),'Price Analysis'!$C$4))*ROW('Price History'!$E$6:$E$72)))=0,"",INDEX('Price History'!$E$6:$E$72,SUMPRODUCT(MAX(('Price History'!$B$6:$B$72=$B10)*('Price History'!$C$6:$C$72=$C10)*('Price History'!$D$6:$D$72&lt;=MIN(DATE(2026,12,31),'Price Analysis'!$C$4))*ROW('Price History'!$E$6:$E$72)))-5))</f>
        <v>16.99</v>
      </c>
    </row>
    <row r="11" customFormat="false" ht="15" hidden="false" customHeight="false" outlineLevel="0" collapsed="false">
      <c r="B11" s="19" t="s">
        <v>175</v>
      </c>
      <c r="C11" s="26" t="s">
        <v>109</v>
      </c>
      <c r="D11" s="29" t="s">
        <v>219</v>
      </c>
      <c r="E11" s="34" t="str">
        <f aca="false">IF(SUMPRODUCT(MAX(('Price History'!$B$6:$B$72=$B11)*('Price History'!$C$6:$C$72=$C11)*('Price History'!$D$6:$D$72&lt;=MIN(DATE(2019,12,31),'Price Analysis'!$C$4))*ROW('Price History'!$E$6:$E$72)))=0,"",INDEX('Price History'!$E$6:$E$72,SUMPRODUCT(MAX(('Price History'!$B$6:$B$72=$B11)*('Price History'!$C$6:$C$72=$C11)*('Price History'!$D$6:$D$72&lt;=MIN(DATE(2019,12,31),'Price Analysis'!$C$4))*ROW('Price History'!$E$6:$E$72)))-5))</f>
        <v/>
      </c>
      <c r="F11" s="34" t="str">
        <f aca="false">IF(SUMPRODUCT(MAX(('Price History'!$B$6:$B$72=$B11)*('Price History'!$C$6:$C$72=$C11)*('Price History'!$D$6:$D$72&lt;=MIN(DATE(2020,12,31),'Price Analysis'!$C$4))*ROW('Price History'!$E$6:$E$72)))=0,"",INDEX('Price History'!$E$6:$E$72,SUMPRODUCT(MAX(('Price History'!$B$6:$B$72=$B11)*('Price History'!$C$6:$C$72=$C11)*('Price History'!$D$6:$D$72&lt;=MIN(DATE(2020,12,31),'Price Analysis'!$C$4))*ROW('Price History'!$E$6:$E$72)))-5))</f>
        <v/>
      </c>
      <c r="G11" s="34" t="n">
        <f aca="false">IF(SUMPRODUCT(MAX(('Price History'!$B$6:$B$72=$B11)*('Price History'!$C$6:$C$72=$C11)*('Price History'!$D$6:$D$72&lt;=MIN(DATE(2021,12,31),'Price Analysis'!$C$4))*ROW('Price History'!$E$6:$E$72)))=0,"",INDEX('Price History'!$E$6:$E$72,SUMPRODUCT(MAX(('Price History'!$B$6:$B$72=$B11)*('Price History'!$C$6:$C$72=$C11)*('Price History'!$D$6:$D$72&lt;=MIN(DATE(2021,12,31),'Price Analysis'!$C$4))*ROW('Price History'!$E$6:$E$72)))-5))</f>
        <v>9.99</v>
      </c>
      <c r="H11" s="34" t="n">
        <f aca="false">IF(SUMPRODUCT(MAX(('Price History'!$B$6:$B$72=$B11)*('Price History'!$C$6:$C$72=$C11)*('Price History'!$D$6:$D$72&lt;=MIN(DATE(2022,12,31),'Price Analysis'!$C$4))*ROW('Price History'!$E$6:$E$72)))=0,"",INDEX('Price History'!$E$6:$E$72,SUMPRODUCT(MAX(('Price History'!$B$6:$B$72=$B11)*('Price History'!$C$6:$C$72=$C11)*('Price History'!$D$6:$D$72&lt;=MIN(DATE(2022,12,31),'Price Analysis'!$C$4))*ROW('Price History'!$E$6:$E$72)))-5))</f>
        <v>9.99</v>
      </c>
      <c r="I11" s="34" t="n">
        <f aca="false">IF(SUMPRODUCT(MAX(('Price History'!$B$6:$B$72=$B11)*('Price History'!$C$6:$C$72=$C11)*('Price History'!$D$6:$D$72&lt;=MIN(DATE(2023,12,31),'Price Analysis'!$C$4))*ROW('Price History'!$E$6:$E$72)))=0,"",INDEX('Price History'!$E$6:$E$72,SUMPRODUCT(MAX(('Price History'!$B$6:$B$72=$B11)*('Price History'!$C$6:$C$72=$C11)*('Price History'!$D$6:$D$72&lt;=MIN(DATE(2023,12,31),'Price Analysis'!$C$4))*ROW('Price History'!$E$6:$E$72)))-5))</f>
        <v>11.99</v>
      </c>
      <c r="J11" s="34" t="n">
        <f aca="false">IF(SUMPRODUCT(MAX(('Price History'!$B$6:$B$72=$B11)*('Price History'!$C$6:$C$72=$C11)*('Price History'!$D$6:$D$72&lt;=MIN(DATE(2024,12,31),'Price Analysis'!$C$4))*ROW('Price History'!$E$6:$E$72)))=0,"",INDEX('Price History'!$E$6:$E$72,SUMPRODUCT(MAX(('Price History'!$B$6:$B$72=$B11)*('Price History'!$C$6:$C$72=$C11)*('Price History'!$D$6:$D$72&lt;=MIN(DATE(2024,12,31),'Price Analysis'!$C$4))*ROW('Price History'!$E$6:$E$72)))-5))</f>
        <v>12.99</v>
      </c>
      <c r="K11" s="34" t="n">
        <f aca="false">IF(SUMPRODUCT(MAX(('Price History'!$B$6:$B$72=$B11)*('Price History'!$C$6:$C$72=$C11)*('Price History'!$D$6:$D$72&lt;=MIN(DATE(2025,12,31),'Price Analysis'!$C$4))*ROW('Price History'!$E$6:$E$72)))=0,"",INDEX('Price History'!$E$6:$E$72,SUMPRODUCT(MAX(('Price History'!$B$6:$B$72=$B11)*('Price History'!$C$6:$C$72=$C11)*('Price History'!$D$6:$D$72&lt;=MIN(DATE(2025,12,31),'Price Analysis'!$C$4))*ROW('Price History'!$E$6:$E$72)))-5))</f>
        <v>12.99</v>
      </c>
      <c r="L11" s="34" t="n">
        <f aca="false">IF(SUMPRODUCT(MAX(('Price History'!$B$6:$B$72=$B11)*('Price History'!$C$6:$C$72=$C11)*('Price History'!$D$6:$D$72&lt;=MIN(DATE(2026,12,31),'Price Analysis'!$C$4))*ROW('Price History'!$E$6:$E$72)))=0,"",INDEX('Price History'!$E$6:$E$72,SUMPRODUCT(MAX(('Price History'!$B$6:$B$72=$B11)*('Price History'!$C$6:$C$72=$C11)*('Price History'!$D$6:$D$72&lt;=MIN(DATE(2026,12,31),'Price Analysis'!$C$4))*ROW('Price History'!$E$6:$E$72)))-5))</f>
        <v>13.99</v>
      </c>
    </row>
    <row r="12" customFormat="false" ht="15" hidden="false" customHeight="false" outlineLevel="0" collapsed="false">
      <c r="B12" s="19" t="s">
        <v>84</v>
      </c>
      <c r="C12" s="26" t="s">
        <v>85</v>
      </c>
      <c r="D12" s="29" t="s">
        <v>219</v>
      </c>
      <c r="E12" s="34" t="n">
        <f aca="false">IF(SUMPRODUCT(MAX(('Price History'!$B$6:$B$72=$B12)*('Price History'!$C$6:$C$72=$C12)*('Price History'!$D$6:$D$72&lt;=MIN(DATE(2019,12,31),'Price Analysis'!$C$4))*ROW('Price History'!$E$6:$E$72)))=0,"",INDEX('Price History'!$E$6:$E$72,SUMPRODUCT(MAX(('Price History'!$B$6:$B$72=$B12)*('Price History'!$C$6:$C$72=$C12)*('Price History'!$D$6:$D$72&lt;=MIN(DATE(2019,12,31),'Price Analysis'!$C$4))*ROW('Price History'!$E$6:$E$72)))-5))</f>
        <v>4.99</v>
      </c>
      <c r="F12" s="34" t="n">
        <f aca="false">IF(SUMPRODUCT(MAX(('Price History'!$B$6:$B$72=$B12)*('Price History'!$C$6:$C$72=$C12)*('Price History'!$D$6:$D$72&lt;=MIN(DATE(2020,12,31),'Price Analysis'!$C$4))*ROW('Price History'!$E$6:$E$72)))=0,"",INDEX('Price History'!$E$6:$E$72,SUMPRODUCT(MAX(('Price History'!$B$6:$B$72=$B12)*('Price History'!$C$6:$C$72=$C12)*('Price History'!$D$6:$D$72&lt;=MIN(DATE(2020,12,31),'Price Analysis'!$C$4))*ROW('Price History'!$E$6:$E$72)))-5))</f>
        <v>4.99</v>
      </c>
      <c r="G12" s="34" t="n">
        <f aca="false">IF(SUMPRODUCT(MAX(('Price History'!$B$6:$B$72=$B12)*('Price History'!$C$6:$C$72=$C12)*('Price History'!$D$6:$D$72&lt;=MIN(DATE(2021,12,31),'Price Analysis'!$C$4))*ROW('Price History'!$E$6:$E$72)))=0,"",INDEX('Price History'!$E$6:$E$72,SUMPRODUCT(MAX(('Price History'!$B$6:$B$72=$B12)*('Price History'!$C$6:$C$72=$C12)*('Price History'!$D$6:$D$72&lt;=MIN(DATE(2021,12,31),'Price Analysis'!$C$4))*ROW('Price History'!$E$6:$E$72)))-5))</f>
        <v>4.99</v>
      </c>
      <c r="H12" s="34" t="n">
        <f aca="false">IF(SUMPRODUCT(MAX(('Price History'!$B$6:$B$72=$B12)*('Price History'!$C$6:$C$72=$C12)*('Price History'!$D$6:$D$72&lt;=MIN(DATE(2022,12,31),'Price Analysis'!$C$4))*ROW('Price History'!$E$6:$E$72)))=0,"",INDEX('Price History'!$E$6:$E$72,SUMPRODUCT(MAX(('Price History'!$B$6:$B$72=$B12)*('Price History'!$C$6:$C$72=$C12)*('Price History'!$D$6:$D$72&lt;=MIN(DATE(2022,12,31),'Price Analysis'!$C$4))*ROW('Price History'!$E$6:$E$72)))-5))</f>
        <v>6.99</v>
      </c>
      <c r="I12" s="34" t="n">
        <f aca="false">IF(SUMPRODUCT(MAX(('Price History'!$B$6:$B$72=$B12)*('Price History'!$C$6:$C$72=$C12)*('Price History'!$D$6:$D$72&lt;=MIN(DATE(2023,12,31),'Price Analysis'!$C$4))*ROW('Price History'!$E$6:$E$72)))=0,"",INDEX('Price History'!$E$6:$E$72,SUMPRODUCT(MAX(('Price History'!$B$6:$B$72=$B12)*('Price History'!$C$6:$C$72=$C12)*('Price History'!$D$6:$D$72&lt;=MIN(DATE(2023,12,31),'Price Analysis'!$C$4))*ROW('Price History'!$E$6:$E$72)))-5))</f>
        <v>9.99</v>
      </c>
      <c r="J12" s="34" t="n">
        <f aca="false">IF(SUMPRODUCT(MAX(('Price History'!$B$6:$B$72=$B12)*('Price History'!$C$6:$C$72=$C12)*('Price History'!$D$6:$D$72&lt;=MIN(DATE(2024,12,31),'Price Analysis'!$C$4))*ROW('Price History'!$E$6:$E$72)))=0,"",INDEX('Price History'!$E$6:$E$72,SUMPRODUCT(MAX(('Price History'!$B$6:$B$72=$B12)*('Price History'!$C$6:$C$72=$C12)*('Price History'!$D$6:$D$72&lt;=MIN(DATE(2024,12,31),'Price Analysis'!$C$4))*ROW('Price History'!$E$6:$E$72)))-5))</f>
        <v>9.99</v>
      </c>
      <c r="K12" s="34" t="n">
        <f aca="false">IF(SUMPRODUCT(MAX(('Price History'!$B$6:$B$72=$B12)*('Price History'!$C$6:$C$72=$C12)*('Price History'!$D$6:$D$72&lt;=MIN(DATE(2025,12,31),'Price Analysis'!$C$4))*ROW('Price History'!$E$6:$E$72)))=0,"",INDEX('Price History'!$E$6:$E$72,SUMPRODUCT(MAX(('Price History'!$B$6:$B$72=$B12)*('Price History'!$C$6:$C$72=$C12)*('Price History'!$D$6:$D$72&lt;=MIN(DATE(2025,12,31),'Price Analysis'!$C$4))*ROW('Price History'!$E$6:$E$72)))-5))</f>
        <v>12.99</v>
      </c>
      <c r="L12" s="34" t="n">
        <f aca="false">IF(SUMPRODUCT(MAX(('Price History'!$B$6:$B$72=$B12)*('Price History'!$C$6:$C$72=$C12)*('Price History'!$D$6:$D$72&lt;=MIN(DATE(2026,12,31),'Price Analysis'!$C$4))*ROW('Price History'!$E$6:$E$72)))=0,"",INDEX('Price History'!$E$6:$E$72,SUMPRODUCT(MAX(('Price History'!$B$6:$B$72=$B12)*('Price History'!$C$6:$C$72=$C12)*('Price History'!$D$6:$D$72&lt;=MIN(DATE(2026,12,31),'Price Analysis'!$C$4))*ROW('Price History'!$E$6:$E$72)))-5))</f>
        <v>12.99</v>
      </c>
    </row>
    <row r="13" customFormat="false" ht="15" hidden="false" customHeight="false" outlineLevel="0" collapsed="false">
      <c r="B13" s="19" t="s">
        <v>119</v>
      </c>
      <c r="C13" s="26" t="s">
        <v>120</v>
      </c>
      <c r="D13" s="29" t="s">
        <v>220</v>
      </c>
      <c r="E13" s="34" t="n">
        <f aca="false">IF(SUMPRODUCT(MAX(('Price History'!$B$6:$B$72=$B13)*('Price History'!$C$6:$C$72=$C13)*('Price History'!$D$6:$D$72&lt;=MIN(DATE(2019,12,31),'Price Analysis'!$C$4))*ROW('Price History'!$E$6:$E$72)))=0,"",INDEX('Price History'!$E$6:$E$72,SUMPRODUCT(MAX(('Price History'!$B$6:$B$72=$B13)*('Price History'!$C$6:$C$72=$C13)*('Price History'!$D$6:$D$72&lt;=MIN(DATE(2019,12,31),'Price Analysis'!$C$4))*ROW('Price History'!$E$6:$E$72)))-5))</f>
        <v>4.99</v>
      </c>
      <c r="F13" s="34" t="n">
        <f aca="false">IF(SUMPRODUCT(MAX(('Price History'!$B$6:$B$72=$B13)*('Price History'!$C$6:$C$72=$C13)*('Price History'!$D$6:$D$72&lt;=MIN(DATE(2020,12,31),'Price Analysis'!$C$4))*ROW('Price History'!$E$6:$E$72)))=0,"",INDEX('Price History'!$E$6:$E$72,SUMPRODUCT(MAX(('Price History'!$B$6:$B$72=$B13)*('Price History'!$C$6:$C$72=$C13)*('Price History'!$D$6:$D$72&lt;=MIN(DATE(2020,12,31),'Price Analysis'!$C$4))*ROW('Price History'!$E$6:$E$72)))-5))</f>
        <v>5.99</v>
      </c>
      <c r="G13" s="34" t="n">
        <f aca="false">IF(SUMPRODUCT(MAX(('Price History'!$B$6:$B$72=$B13)*('Price History'!$C$6:$C$72=$C13)*('Price History'!$D$6:$D$72&lt;=MIN(DATE(2021,12,31),'Price Analysis'!$C$4))*ROW('Price History'!$E$6:$E$72)))=0,"",INDEX('Price History'!$E$6:$E$72,SUMPRODUCT(MAX(('Price History'!$B$6:$B$72=$B13)*('Price History'!$C$6:$C$72=$C13)*('Price History'!$D$6:$D$72&lt;=MIN(DATE(2021,12,31),'Price Analysis'!$C$4))*ROW('Price History'!$E$6:$E$72)))-5))</f>
        <v>6.99</v>
      </c>
      <c r="H13" s="34" t="n">
        <f aca="false">IF(SUMPRODUCT(MAX(('Price History'!$B$6:$B$72=$B13)*('Price History'!$C$6:$C$72=$C13)*('Price History'!$D$6:$D$72&lt;=MIN(DATE(2022,12,31),'Price Analysis'!$C$4))*ROW('Price History'!$E$6:$E$72)))=0,"",INDEX('Price History'!$E$6:$E$72,SUMPRODUCT(MAX(('Price History'!$B$6:$B$72=$B13)*('Price History'!$C$6:$C$72=$C13)*('Price History'!$D$6:$D$72&lt;=MIN(DATE(2022,12,31),'Price Analysis'!$C$4))*ROW('Price History'!$E$6:$E$72)))-5))</f>
        <v>9.99</v>
      </c>
      <c r="I13" s="34" t="n">
        <f aca="false">IF(SUMPRODUCT(MAX(('Price History'!$B$6:$B$72=$B13)*('Price History'!$C$6:$C$72=$C13)*('Price History'!$D$6:$D$72&lt;=MIN(DATE(2023,12,31),'Price Analysis'!$C$4))*ROW('Price History'!$E$6:$E$72)))=0,"",INDEX('Price History'!$E$6:$E$72,SUMPRODUCT(MAX(('Price History'!$B$6:$B$72=$B13)*('Price History'!$C$6:$C$72=$C13)*('Price History'!$D$6:$D$72&lt;=MIN(DATE(2023,12,31),'Price Analysis'!$C$4))*ROW('Price History'!$E$6:$E$72)))-5))</f>
        <v>10.99</v>
      </c>
      <c r="J13" s="34" t="n">
        <f aca="false">IF(SUMPRODUCT(MAX(('Price History'!$B$6:$B$72=$B13)*('Price History'!$C$6:$C$72=$C13)*('Price History'!$D$6:$D$72&lt;=MIN(DATE(2024,12,31),'Price Analysis'!$C$4))*ROW('Price History'!$E$6:$E$72)))=0,"",INDEX('Price History'!$E$6:$E$72,SUMPRODUCT(MAX(('Price History'!$B$6:$B$72=$B13)*('Price History'!$C$6:$C$72=$C13)*('Price History'!$D$6:$D$72&lt;=MIN(DATE(2024,12,31),'Price Analysis'!$C$4))*ROW('Price History'!$E$6:$E$72)))-5))</f>
        <v>11.99</v>
      </c>
      <c r="K13" s="34" t="n">
        <f aca="false">IF(SUMPRODUCT(MAX(('Price History'!$B$6:$B$72=$B13)*('Price History'!$C$6:$C$72=$C13)*('Price History'!$D$6:$D$72&lt;=MIN(DATE(2025,12,31),'Price Analysis'!$C$4))*ROW('Price History'!$E$6:$E$72)))=0,"",INDEX('Price History'!$E$6:$E$72,SUMPRODUCT(MAX(('Price History'!$B$6:$B$72=$B13)*('Price History'!$C$6:$C$72=$C13)*('Price History'!$D$6:$D$72&lt;=MIN(DATE(2025,12,31),'Price Analysis'!$C$4))*ROW('Price History'!$E$6:$E$72)))-5))</f>
        <v>12.99</v>
      </c>
      <c r="L13" s="34" t="n">
        <f aca="false">IF(SUMPRODUCT(MAX(('Price History'!$B$6:$B$72=$B13)*('Price History'!$C$6:$C$72=$C13)*('Price History'!$D$6:$D$72&lt;=MIN(DATE(2026,12,31),'Price Analysis'!$C$4))*ROW('Price History'!$E$6:$E$72)))=0,"",INDEX('Price History'!$E$6:$E$72,SUMPRODUCT(MAX(('Price History'!$B$6:$B$72=$B13)*('Price History'!$C$6:$C$72=$C13)*('Price History'!$D$6:$D$72&lt;=MIN(DATE(2026,12,31),'Price Analysis'!$C$4))*ROW('Price History'!$E$6:$E$72)))-5))</f>
        <v>12.99</v>
      </c>
    </row>
    <row r="14" customFormat="false" ht="15" hidden="false" customHeight="false" outlineLevel="0" collapsed="false">
      <c r="B14" s="19" t="s">
        <v>150</v>
      </c>
      <c r="C14" s="26" t="s">
        <v>120</v>
      </c>
      <c r="D14" s="29" t="s">
        <v>220</v>
      </c>
      <c r="E14" s="34" t="str">
        <f aca="false">IF(SUMPRODUCT(MAX(('Price History'!$B$6:$B$72=$B14)*('Price History'!$C$6:$C$72=$C14)*('Price History'!$D$6:$D$72&lt;=MIN(DATE(2019,12,31),'Price Analysis'!$C$4))*ROW('Price History'!$E$6:$E$72)))=0,"",INDEX('Price History'!$E$6:$E$72,SUMPRODUCT(MAX(('Price History'!$B$6:$B$72=$B14)*('Price History'!$C$6:$C$72=$C14)*('Price History'!$D$6:$D$72&lt;=MIN(DATE(2019,12,31),'Price Analysis'!$C$4))*ROW('Price History'!$E$6:$E$72)))-5))</f>
        <v/>
      </c>
      <c r="F14" s="34" t="str">
        <f aca="false">IF(SUMPRODUCT(MAX(('Price History'!$B$6:$B$72=$B14)*('Price History'!$C$6:$C$72=$C14)*('Price History'!$D$6:$D$72&lt;=MIN(DATE(2020,12,31),'Price Analysis'!$C$4))*ROW('Price History'!$E$6:$E$72)))=0,"",INDEX('Price History'!$E$6:$E$72,SUMPRODUCT(MAX(('Price History'!$B$6:$B$72=$B14)*('Price History'!$C$6:$C$72=$C14)*('Price History'!$D$6:$D$72&lt;=MIN(DATE(2020,12,31),'Price Analysis'!$C$4))*ROW('Price History'!$E$6:$E$72)))-5))</f>
        <v/>
      </c>
      <c r="G14" s="34" t="str">
        <f aca="false">IF(SUMPRODUCT(MAX(('Price History'!$B$6:$B$72=$B14)*('Price History'!$C$6:$C$72=$C14)*('Price History'!$D$6:$D$72&lt;=MIN(DATE(2021,12,31),'Price Analysis'!$C$4))*ROW('Price History'!$E$6:$E$72)))=0,"",INDEX('Price History'!$E$6:$E$72,SUMPRODUCT(MAX(('Price History'!$B$6:$B$72=$B14)*('Price History'!$C$6:$C$72=$C14)*('Price History'!$D$6:$D$72&lt;=MIN(DATE(2021,12,31),'Price Analysis'!$C$4))*ROW('Price History'!$E$6:$E$72)))-5))</f>
        <v/>
      </c>
      <c r="H14" s="34" t="n">
        <f aca="false">IF(SUMPRODUCT(MAX(('Price History'!$B$6:$B$72=$B14)*('Price History'!$C$6:$C$72=$C14)*('Price History'!$D$6:$D$72&lt;=MIN(DATE(2022,12,31),'Price Analysis'!$C$4))*ROW('Price History'!$E$6:$E$72)))=0,"",INDEX('Price History'!$E$6:$E$72,SUMPRODUCT(MAX(('Price History'!$B$6:$B$72=$B14)*('Price History'!$C$6:$C$72=$C14)*('Price History'!$D$6:$D$72&lt;=MIN(DATE(2022,12,31),'Price Analysis'!$C$4))*ROW('Price History'!$E$6:$E$72)))-5))</f>
        <v>6.99</v>
      </c>
      <c r="I14" s="34" t="n">
        <f aca="false">IF(SUMPRODUCT(MAX(('Price History'!$B$6:$B$72=$B14)*('Price History'!$C$6:$C$72=$C14)*('Price History'!$D$6:$D$72&lt;=MIN(DATE(2023,12,31),'Price Analysis'!$C$4))*ROW('Price History'!$E$6:$E$72)))=0,"",INDEX('Price History'!$E$6:$E$72,SUMPRODUCT(MAX(('Price History'!$B$6:$B$72=$B14)*('Price History'!$C$6:$C$72=$C14)*('Price History'!$D$6:$D$72&lt;=MIN(DATE(2023,12,31),'Price Analysis'!$C$4))*ROW('Price History'!$E$6:$E$72)))-5))</f>
        <v>6.99</v>
      </c>
      <c r="J14" s="34" t="n">
        <f aca="false">IF(SUMPRODUCT(MAX(('Price History'!$B$6:$B$72=$B14)*('Price History'!$C$6:$C$72=$C14)*('Price History'!$D$6:$D$72&lt;=MIN(DATE(2024,12,31),'Price Analysis'!$C$4))*ROW('Price History'!$E$6:$E$72)))=0,"",INDEX('Price History'!$E$6:$E$72,SUMPRODUCT(MAX(('Price History'!$B$6:$B$72=$B14)*('Price History'!$C$6:$C$72=$C14)*('Price History'!$D$6:$D$72&lt;=MIN(DATE(2024,12,31),'Price Analysis'!$C$4))*ROW('Price History'!$E$6:$E$72)))-5))</f>
        <v>6.99</v>
      </c>
      <c r="K14" s="34" t="n">
        <f aca="false">IF(SUMPRODUCT(MAX(('Price History'!$B$6:$B$72=$B14)*('Price History'!$C$6:$C$72=$C14)*('Price History'!$D$6:$D$72&lt;=MIN(DATE(2025,12,31),'Price Analysis'!$C$4))*ROW('Price History'!$E$6:$E$72)))=0,"",INDEX('Price History'!$E$6:$E$72,SUMPRODUCT(MAX(('Price History'!$B$6:$B$72=$B14)*('Price History'!$C$6:$C$72=$C14)*('Price History'!$D$6:$D$72&lt;=MIN(DATE(2025,12,31),'Price Analysis'!$C$4))*ROW('Price History'!$E$6:$E$72)))-5))</f>
        <v>7.99</v>
      </c>
      <c r="L14" s="34" t="n">
        <f aca="false">IF(SUMPRODUCT(MAX(('Price History'!$B$6:$B$72=$B14)*('Price History'!$C$6:$C$72=$C14)*('Price History'!$D$6:$D$72&lt;=MIN(DATE(2026,12,31),'Price Analysis'!$C$4))*ROW('Price History'!$E$6:$E$72)))=0,"",INDEX('Price History'!$E$6:$E$72,SUMPRODUCT(MAX(('Price History'!$B$6:$B$72=$B14)*('Price History'!$C$6:$C$72=$C14)*('Price History'!$D$6:$D$72&lt;=MIN(DATE(2026,12,31),'Price Analysis'!$C$4))*ROW('Price History'!$E$6:$E$72)))-5))</f>
        <v>8.99</v>
      </c>
    </row>
    <row r="15" customFormat="false" ht="15" hidden="false" customHeight="false" outlineLevel="0" collapsed="false">
      <c r="B15" s="19" t="s">
        <v>98</v>
      </c>
      <c r="C15" s="26" t="s">
        <v>99</v>
      </c>
      <c r="D15" s="29" t="s">
        <v>220</v>
      </c>
      <c r="E15" s="34" t="str">
        <f aca="false">IF(SUMPRODUCT(MAX(('Price History'!$B$6:$B$72=$B15)*('Price History'!$C$6:$C$72=$C15)*('Price History'!$D$6:$D$72&lt;=MIN(DATE(2019,12,31),'Price Analysis'!$C$4))*ROW('Price History'!$E$6:$E$72)))=0,"",INDEX('Price History'!$E$6:$E$72,SUMPRODUCT(MAX(('Price History'!$B$6:$B$72=$B15)*('Price History'!$C$6:$C$72=$C15)*('Price History'!$D$6:$D$72&lt;=MIN(DATE(2019,12,31),'Price Analysis'!$C$4))*ROW('Price History'!$E$6:$E$72)))-5))</f>
        <v/>
      </c>
      <c r="F15" s="34" t="str">
        <f aca="false">IF(SUMPRODUCT(MAX(('Price History'!$B$6:$B$72=$B15)*('Price History'!$C$6:$C$72=$C15)*('Price History'!$D$6:$D$72&lt;=MIN(DATE(2020,12,31),'Price Analysis'!$C$4))*ROW('Price History'!$E$6:$E$72)))=0,"",INDEX('Price History'!$E$6:$E$72,SUMPRODUCT(MAX(('Price History'!$B$6:$B$72=$B15)*('Price History'!$C$6:$C$72=$C15)*('Price History'!$D$6:$D$72&lt;=MIN(DATE(2020,12,31),'Price Analysis'!$C$4))*ROW('Price History'!$E$6:$E$72)))-5))</f>
        <v/>
      </c>
      <c r="G15" s="34" t="str">
        <f aca="false">IF(SUMPRODUCT(MAX(('Price History'!$B$6:$B$72=$B15)*('Price History'!$C$6:$C$72=$C15)*('Price History'!$D$6:$D$72&lt;=MIN(DATE(2021,12,31),'Price Analysis'!$C$4))*ROW('Price History'!$E$6:$E$72)))=0,"",INDEX('Price History'!$E$6:$E$72,SUMPRODUCT(MAX(('Price History'!$B$6:$B$72=$B15)*('Price History'!$C$6:$C$72=$C15)*('Price History'!$D$6:$D$72&lt;=MIN(DATE(2021,12,31),'Price Analysis'!$C$4))*ROW('Price History'!$E$6:$E$72)))-5))</f>
        <v/>
      </c>
      <c r="H15" s="34" t="n">
        <f aca="false">IF(SUMPRODUCT(MAX(('Price History'!$B$6:$B$72=$B15)*('Price History'!$C$6:$C$72=$C15)*('Price History'!$D$6:$D$72&lt;=MIN(DATE(2022,12,31),'Price Analysis'!$C$4))*ROW('Price History'!$E$6:$E$72)))=0,"",INDEX('Price History'!$E$6:$E$72,SUMPRODUCT(MAX(('Price History'!$B$6:$B$72=$B15)*('Price History'!$C$6:$C$72=$C15)*('Price History'!$D$6:$D$72&lt;=MIN(DATE(2022,12,31),'Price Analysis'!$C$4))*ROW('Price History'!$E$6:$E$72)))-5))</f>
        <v>7.99</v>
      </c>
      <c r="I15" s="34" t="n">
        <f aca="false">IF(SUMPRODUCT(MAX(('Price History'!$B$6:$B$72=$B15)*('Price History'!$C$6:$C$72=$C15)*('Price History'!$D$6:$D$72&lt;=MIN(DATE(2023,12,31),'Price Analysis'!$C$4))*ROW('Price History'!$E$6:$E$72)))=0,"",INDEX('Price History'!$E$6:$E$72,SUMPRODUCT(MAX(('Price History'!$B$6:$B$72=$B15)*('Price History'!$C$6:$C$72=$C15)*('Price History'!$D$6:$D$72&lt;=MIN(DATE(2023,12,31),'Price Analysis'!$C$4))*ROW('Price History'!$E$6:$E$72)))-5))</f>
        <v>7.99</v>
      </c>
      <c r="J15" s="34" t="n">
        <f aca="false">IF(SUMPRODUCT(MAX(('Price History'!$B$6:$B$72=$B15)*('Price History'!$C$6:$C$72=$C15)*('Price History'!$D$6:$D$72&lt;=MIN(DATE(2024,12,31),'Price Analysis'!$C$4))*ROW('Price History'!$E$6:$E$72)))=0,"",INDEX('Price History'!$E$6:$E$72,SUMPRODUCT(MAX(('Price History'!$B$6:$B$72=$B15)*('Price History'!$C$6:$C$72=$C15)*('Price History'!$D$6:$D$72&lt;=MIN(DATE(2024,12,31),'Price Analysis'!$C$4))*ROW('Price History'!$E$6:$E$72)))-5))</f>
        <v>9.99</v>
      </c>
      <c r="K15" s="34" t="n">
        <f aca="false">IF(SUMPRODUCT(MAX(('Price History'!$B$6:$B$72=$B15)*('Price History'!$C$6:$C$72=$C15)*('Price History'!$D$6:$D$72&lt;=MIN(DATE(2025,12,31),'Price Analysis'!$C$4))*ROW('Price History'!$E$6:$E$72)))=0,"",INDEX('Price History'!$E$6:$E$72,SUMPRODUCT(MAX(('Price History'!$B$6:$B$72=$B15)*('Price History'!$C$6:$C$72=$C15)*('Price History'!$D$6:$D$72&lt;=MIN(DATE(2025,12,31),'Price Analysis'!$C$4))*ROW('Price History'!$E$6:$E$72)))-5))</f>
        <v>11.99</v>
      </c>
      <c r="L15" s="34" t="n">
        <f aca="false">IF(SUMPRODUCT(MAX(('Price History'!$B$6:$B$72=$B15)*('Price History'!$C$6:$C$72=$C15)*('Price History'!$D$6:$D$72&lt;=MIN(DATE(2026,12,31),'Price Analysis'!$C$4))*ROW('Price History'!$E$6:$E$72)))=0,"",INDEX('Price History'!$E$6:$E$72,SUMPRODUCT(MAX(('Price History'!$B$6:$B$72=$B15)*('Price History'!$C$6:$C$72=$C15)*('Price History'!$D$6:$D$72&lt;=MIN(DATE(2026,12,31),'Price Analysis'!$C$4))*ROW('Price History'!$E$6:$E$72)))-5))</f>
        <v>11.99</v>
      </c>
    </row>
    <row r="16" customFormat="false" ht="15" hidden="false" customHeight="false" outlineLevel="0" collapsed="false">
      <c r="B16" s="19" t="s">
        <v>141</v>
      </c>
      <c r="C16" s="26" t="s">
        <v>147</v>
      </c>
      <c r="D16" s="29" t="s">
        <v>220</v>
      </c>
      <c r="E16" s="34" t="n">
        <f aca="false">IF(SUMPRODUCT(MAX(('Price History'!$B$6:$B$72=$B16)*('Price History'!$C$6:$C$72=$C16)*('Price History'!$D$6:$D$72&lt;=MIN(DATE(2019,12,31),'Price Analysis'!$C$4))*ROW('Price History'!$E$6:$E$72)))=0,"",INDEX('Price History'!$E$6:$E$72,SUMPRODUCT(MAX(('Price History'!$B$6:$B$72=$B16)*('Price History'!$C$6:$C$72=$C16)*('Price History'!$D$6:$D$72&lt;=MIN(DATE(2019,12,31),'Price Analysis'!$C$4))*ROW('Price History'!$E$6:$E$72)))-5))</f>
        <v>5.99</v>
      </c>
      <c r="F16" s="34" t="n">
        <f aca="false">IF(SUMPRODUCT(MAX(('Price History'!$B$6:$B$72=$B16)*('Price History'!$C$6:$C$72=$C16)*('Price History'!$D$6:$D$72&lt;=MIN(DATE(2020,12,31),'Price Analysis'!$C$4))*ROW('Price History'!$E$6:$E$72)))=0,"",INDEX('Price History'!$E$6:$E$72,SUMPRODUCT(MAX(('Price History'!$B$6:$B$72=$B16)*('Price History'!$C$6:$C$72=$C16)*('Price History'!$D$6:$D$72&lt;=MIN(DATE(2020,12,31),'Price Analysis'!$C$4))*ROW('Price History'!$E$6:$E$72)))-5))</f>
        <v>5.99</v>
      </c>
      <c r="G16" s="34" t="n">
        <f aca="false">IF(SUMPRODUCT(MAX(('Price History'!$B$6:$B$72=$B16)*('Price History'!$C$6:$C$72=$C16)*('Price History'!$D$6:$D$72&lt;=MIN(DATE(2021,12,31),'Price Analysis'!$C$4))*ROW('Price History'!$E$6:$E$72)))=0,"",INDEX('Price History'!$E$6:$E$72,SUMPRODUCT(MAX(('Price History'!$B$6:$B$72=$B16)*('Price History'!$C$6:$C$72=$C16)*('Price History'!$D$6:$D$72&lt;=MIN(DATE(2021,12,31),'Price Analysis'!$C$4))*ROW('Price History'!$E$6:$E$72)))-5))</f>
        <v>6.99</v>
      </c>
      <c r="H16" s="34" t="n">
        <f aca="false">IF(SUMPRODUCT(MAX(('Price History'!$B$6:$B$72=$B16)*('Price History'!$C$6:$C$72=$C16)*('Price History'!$D$6:$D$72&lt;=MIN(DATE(2022,12,31),'Price Analysis'!$C$4))*ROW('Price History'!$E$6:$E$72)))=0,"",INDEX('Price History'!$E$6:$E$72,SUMPRODUCT(MAX(('Price History'!$B$6:$B$72=$B16)*('Price History'!$C$6:$C$72=$C16)*('Price History'!$D$6:$D$72&lt;=MIN(DATE(2022,12,31),'Price Analysis'!$C$4))*ROW('Price History'!$E$6:$E$72)))-5))</f>
        <v>7.99</v>
      </c>
      <c r="I16" s="34" t="n">
        <f aca="false">IF(SUMPRODUCT(MAX(('Price History'!$B$6:$B$72=$B16)*('Price History'!$C$6:$C$72=$C16)*('Price History'!$D$6:$D$72&lt;=MIN(DATE(2023,12,31),'Price Analysis'!$C$4))*ROW('Price History'!$E$6:$E$72)))=0,"",INDEX('Price History'!$E$6:$E$72,SUMPRODUCT(MAX(('Price History'!$B$6:$B$72=$B16)*('Price History'!$C$6:$C$72=$C16)*('Price History'!$D$6:$D$72&lt;=MIN(DATE(2023,12,31),'Price Analysis'!$C$4))*ROW('Price History'!$E$6:$E$72)))-5))</f>
        <v>7.99</v>
      </c>
      <c r="J16" s="34" t="n">
        <f aca="false">IF(SUMPRODUCT(MAX(('Price History'!$B$6:$B$72=$B16)*('Price History'!$C$6:$C$72=$C16)*('Price History'!$D$6:$D$72&lt;=MIN(DATE(2024,12,31),'Price Analysis'!$C$4))*ROW('Price History'!$E$6:$E$72)))=0,"",INDEX('Price History'!$E$6:$E$72,SUMPRODUCT(MAX(('Price History'!$B$6:$B$72=$B16)*('Price History'!$C$6:$C$72=$C16)*('Price History'!$D$6:$D$72&lt;=MIN(DATE(2024,12,31),'Price Analysis'!$C$4))*ROW('Price History'!$E$6:$E$72)))-5))</f>
        <v>9.99</v>
      </c>
      <c r="K16" s="34" t="n">
        <f aca="false">IF(SUMPRODUCT(MAX(('Price History'!$B$6:$B$72=$B16)*('Price History'!$C$6:$C$72=$C16)*('Price History'!$D$6:$D$72&lt;=MIN(DATE(2025,12,31),'Price Analysis'!$C$4))*ROW('Price History'!$E$6:$E$72)))=0,"",INDEX('Price History'!$E$6:$E$72,SUMPRODUCT(MAX(('Price History'!$B$6:$B$72=$B16)*('Price History'!$C$6:$C$72=$C16)*('Price History'!$D$6:$D$72&lt;=MIN(DATE(2025,12,31),'Price Analysis'!$C$4))*ROW('Price History'!$E$6:$E$72)))-5))</f>
        <v>11.99</v>
      </c>
      <c r="L16" s="34" t="n">
        <f aca="false">IF(SUMPRODUCT(MAX(('Price History'!$B$6:$B$72=$B16)*('Price History'!$C$6:$C$72=$C16)*('Price History'!$D$6:$D$72&lt;=MIN(DATE(2026,12,31),'Price Analysis'!$C$4))*ROW('Price History'!$E$6:$E$72)))=0,"",INDEX('Price History'!$E$6:$E$72,SUMPRODUCT(MAX(('Price History'!$B$6:$B$72=$B16)*('Price History'!$C$6:$C$72=$C16)*('Price History'!$D$6:$D$72&lt;=MIN(DATE(2026,12,31),'Price Analysis'!$C$4))*ROW('Price History'!$E$6:$E$72)))-5))</f>
        <v>11.99</v>
      </c>
    </row>
    <row r="17" customFormat="false" ht="15" hidden="false" customHeight="false" outlineLevel="0" collapsed="false">
      <c r="B17" s="19" t="s">
        <v>129</v>
      </c>
      <c r="C17" s="26" t="s">
        <v>99</v>
      </c>
      <c r="D17" s="29" t="s">
        <v>220</v>
      </c>
      <c r="E17" s="34" t="str">
        <f aca="false">IF(SUMPRODUCT(MAX(('Price History'!$B$6:$B$72=$B17)*('Price History'!$C$6:$C$72=$C17)*('Price History'!$D$6:$D$72&lt;=MIN(DATE(2019,12,31),'Price Analysis'!$C$4))*ROW('Price History'!$E$6:$E$72)))=0,"",INDEX('Price History'!$E$6:$E$72,SUMPRODUCT(MAX(('Price History'!$B$6:$B$72=$B17)*('Price History'!$C$6:$C$72=$C17)*('Price History'!$D$6:$D$72&lt;=MIN(DATE(2019,12,31),'Price Analysis'!$C$4))*ROW('Price History'!$E$6:$E$72)))-5))</f>
        <v/>
      </c>
      <c r="F17" s="34" t="str">
        <f aca="false">IF(SUMPRODUCT(MAX(('Price History'!$B$6:$B$72=$B17)*('Price History'!$C$6:$C$72=$C17)*('Price History'!$D$6:$D$72&lt;=MIN(DATE(2020,12,31),'Price Analysis'!$C$4))*ROW('Price History'!$E$6:$E$72)))=0,"",INDEX('Price History'!$E$6:$E$72,SUMPRODUCT(MAX(('Price History'!$B$6:$B$72=$B17)*('Price History'!$C$6:$C$72=$C17)*('Price History'!$D$6:$D$72&lt;=MIN(DATE(2020,12,31),'Price Analysis'!$C$4))*ROW('Price History'!$E$6:$E$72)))-5))</f>
        <v/>
      </c>
      <c r="G17" s="34" t="n">
        <f aca="false">IF(SUMPRODUCT(MAX(('Price History'!$B$6:$B$72=$B17)*('Price History'!$C$6:$C$72=$C17)*('Price History'!$D$6:$D$72&lt;=MIN(DATE(2021,12,31),'Price Analysis'!$C$4))*ROW('Price History'!$E$6:$E$72)))=0,"",INDEX('Price History'!$E$6:$E$72,SUMPRODUCT(MAX(('Price History'!$B$6:$B$72=$B17)*('Price History'!$C$6:$C$72=$C17)*('Price History'!$D$6:$D$72&lt;=MIN(DATE(2021,12,31),'Price Analysis'!$C$4))*ROW('Price History'!$E$6:$E$72)))-5))</f>
        <v>9.99</v>
      </c>
      <c r="H17" s="34" t="n">
        <f aca="false">IF(SUMPRODUCT(MAX(('Price History'!$B$6:$B$72=$B17)*('Price History'!$C$6:$C$72=$C17)*('Price History'!$D$6:$D$72&lt;=MIN(DATE(2022,12,31),'Price Analysis'!$C$4))*ROW('Price History'!$E$6:$E$72)))=0,"",INDEX('Price History'!$E$6:$E$72,SUMPRODUCT(MAX(('Price History'!$B$6:$B$72=$B17)*('Price History'!$C$6:$C$72=$C17)*('Price History'!$D$6:$D$72&lt;=MIN(DATE(2022,12,31),'Price Analysis'!$C$4))*ROW('Price History'!$E$6:$E$72)))-5))</f>
        <v>9.99</v>
      </c>
      <c r="I17" s="34" t="n">
        <f aca="false">IF(SUMPRODUCT(MAX(('Price History'!$B$6:$B$72=$B17)*('Price History'!$C$6:$C$72=$C17)*('Price History'!$D$6:$D$72&lt;=MIN(DATE(2023,12,31),'Price Analysis'!$C$4))*ROW('Price History'!$E$6:$E$72)))=0,"",INDEX('Price History'!$E$6:$E$72,SUMPRODUCT(MAX(('Price History'!$B$6:$B$72=$B17)*('Price History'!$C$6:$C$72=$C17)*('Price History'!$D$6:$D$72&lt;=MIN(DATE(2023,12,31),'Price Analysis'!$C$4))*ROW('Price History'!$E$6:$E$72)))-5))</f>
        <v>9.99</v>
      </c>
      <c r="J17" s="34" t="n">
        <f aca="false">IF(SUMPRODUCT(MAX(('Price History'!$B$6:$B$72=$B17)*('Price History'!$C$6:$C$72=$C17)*('Price History'!$D$6:$D$72&lt;=MIN(DATE(2024,12,31),'Price Analysis'!$C$4))*ROW('Price History'!$E$6:$E$72)))=0,"",INDEX('Price History'!$E$6:$E$72,SUMPRODUCT(MAX(('Price History'!$B$6:$B$72=$B17)*('Price History'!$C$6:$C$72=$C17)*('Price History'!$D$6:$D$72&lt;=MIN(DATE(2024,12,31),'Price Analysis'!$C$4))*ROW('Price History'!$E$6:$E$72)))-5))</f>
        <v>9.99</v>
      </c>
      <c r="K17" s="34" t="n">
        <f aca="false">IF(SUMPRODUCT(MAX(('Price History'!$B$6:$B$72=$B17)*('Price History'!$C$6:$C$72=$C17)*('Price History'!$D$6:$D$72&lt;=MIN(DATE(2025,12,31),'Price Analysis'!$C$4))*ROW('Price History'!$E$6:$E$72)))=0,"",INDEX('Price History'!$E$6:$E$72,SUMPRODUCT(MAX(('Price History'!$B$6:$B$72=$B17)*('Price History'!$C$6:$C$72=$C17)*('Price History'!$D$6:$D$72&lt;=MIN(DATE(2025,12,31),'Price Analysis'!$C$4))*ROW('Price History'!$E$6:$E$72)))-5))</f>
        <v>10.99</v>
      </c>
      <c r="L17" s="34" t="n">
        <f aca="false">IF(SUMPRODUCT(MAX(('Price History'!$B$6:$B$72=$B17)*('Price History'!$C$6:$C$72=$C17)*('Price History'!$D$6:$D$72&lt;=MIN(DATE(2026,12,31),'Price Analysis'!$C$4))*ROW('Price History'!$E$6:$E$72)))=0,"",INDEX('Price History'!$E$6:$E$72,SUMPRODUCT(MAX(('Price History'!$B$6:$B$72=$B17)*('Price History'!$C$6:$C$72=$C17)*('Price History'!$D$6:$D$72&lt;=MIN(DATE(2026,12,31),'Price Analysis'!$C$4))*ROW('Price History'!$E$6:$E$72)))-5))</f>
        <v>10.99</v>
      </c>
    </row>
    <row r="18" customFormat="false" ht="15" hidden="false" customHeight="false" outlineLevel="0" collapsed="false">
      <c r="B18" s="19" t="s">
        <v>190</v>
      </c>
      <c r="C18" s="26" t="s">
        <v>202</v>
      </c>
      <c r="D18" s="29" t="s">
        <v>220</v>
      </c>
      <c r="E18" s="34" t="str">
        <f aca="false">IF(SUMPRODUCT(MAX(('Price History'!$B$6:$B$72=$B18)*('Price History'!$C$6:$C$72=$C18)*('Price History'!$D$6:$D$72&lt;=MIN(DATE(2019,12,31),'Price Analysis'!$C$4))*ROW('Price History'!$E$6:$E$72)))=0,"",INDEX('Price History'!$E$6:$E$72,SUMPRODUCT(MAX(('Price History'!$B$6:$B$72=$B18)*('Price History'!$C$6:$C$72=$C18)*('Price History'!$D$6:$D$72&lt;=MIN(DATE(2019,12,31),'Price Analysis'!$C$4))*ROW('Price History'!$E$6:$E$72)))-5))</f>
        <v/>
      </c>
      <c r="F18" s="34" t="n">
        <f aca="false">IF(SUMPRODUCT(MAX(('Price History'!$B$6:$B$72=$B18)*('Price History'!$C$6:$C$72=$C18)*('Price History'!$D$6:$D$72&lt;=MIN(DATE(2020,12,31),'Price Analysis'!$C$4))*ROW('Price History'!$E$6:$E$72)))=0,"",INDEX('Price History'!$E$6:$E$72,SUMPRODUCT(MAX(('Price History'!$B$6:$B$72=$B18)*('Price History'!$C$6:$C$72=$C18)*('Price History'!$D$6:$D$72&lt;=MIN(DATE(2020,12,31),'Price Analysis'!$C$4))*ROW('Price History'!$E$6:$E$72)))-5))</f>
        <v>4.99</v>
      </c>
      <c r="G18" s="34" t="n">
        <f aca="false">IF(SUMPRODUCT(MAX(('Price History'!$B$6:$B$72=$B18)*('Price History'!$C$6:$C$72=$C18)*('Price History'!$D$6:$D$72&lt;=MIN(DATE(2021,12,31),'Price Analysis'!$C$4))*ROW('Price History'!$E$6:$E$72)))=0,"",INDEX('Price History'!$E$6:$E$72,SUMPRODUCT(MAX(('Price History'!$B$6:$B$72=$B18)*('Price History'!$C$6:$C$72=$C18)*('Price History'!$D$6:$D$72&lt;=MIN(DATE(2021,12,31),'Price Analysis'!$C$4))*ROW('Price History'!$E$6:$E$72)))-5))</f>
        <v>4.99</v>
      </c>
      <c r="H18" s="34" t="n">
        <f aca="false">IF(SUMPRODUCT(MAX(('Price History'!$B$6:$B$72=$B18)*('Price History'!$C$6:$C$72=$C18)*('Price History'!$D$6:$D$72&lt;=MIN(DATE(2022,12,31),'Price Analysis'!$C$4))*ROW('Price History'!$E$6:$E$72)))=0,"",INDEX('Price History'!$E$6:$E$72,SUMPRODUCT(MAX(('Price History'!$B$6:$B$72=$B18)*('Price History'!$C$6:$C$72=$C18)*('Price History'!$D$6:$D$72&lt;=MIN(DATE(2022,12,31),'Price Analysis'!$C$4))*ROW('Price History'!$E$6:$E$72)))-5))</f>
        <v>4.99</v>
      </c>
      <c r="I18" s="34" t="n">
        <f aca="false">IF(SUMPRODUCT(MAX(('Price History'!$B$6:$B$72=$B18)*('Price History'!$C$6:$C$72=$C18)*('Price History'!$D$6:$D$72&lt;=MIN(DATE(2023,12,31),'Price Analysis'!$C$4))*ROW('Price History'!$E$6:$E$72)))=0,"",INDEX('Price History'!$E$6:$E$72,SUMPRODUCT(MAX(('Price History'!$B$6:$B$72=$B18)*('Price History'!$C$6:$C$72=$C18)*('Price History'!$D$6:$D$72&lt;=MIN(DATE(2023,12,31),'Price Analysis'!$C$4))*ROW('Price History'!$E$6:$E$72)))-5))</f>
        <v>5.99</v>
      </c>
      <c r="J18" s="34" t="n">
        <f aca="false">IF(SUMPRODUCT(MAX(('Price History'!$B$6:$B$72=$B18)*('Price History'!$C$6:$C$72=$C18)*('Price History'!$D$6:$D$72&lt;=MIN(DATE(2024,12,31),'Price Analysis'!$C$4))*ROW('Price History'!$E$6:$E$72)))=0,"",INDEX('Price History'!$E$6:$E$72,SUMPRODUCT(MAX(('Price History'!$B$6:$B$72=$B18)*('Price History'!$C$6:$C$72=$C18)*('Price History'!$D$6:$D$72&lt;=MIN(DATE(2024,12,31),'Price Analysis'!$C$4))*ROW('Price History'!$E$6:$E$72)))-5))</f>
        <v>7.99</v>
      </c>
      <c r="K18" s="34" t="n">
        <f aca="false">IF(SUMPRODUCT(MAX(('Price History'!$B$6:$B$72=$B18)*('Price History'!$C$6:$C$72=$C18)*('Price History'!$D$6:$D$72&lt;=MIN(DATE(2025,12,31),'Price Analysis'!$C$4))*ROW('Price History'!$E$6:$E$72)))=0,"",INDEX('Price History'!$E$6:$E$72,SUMPRODUCT(MAX(('Price History'!$B$6:$B$72=$B18)*('Price History'!$C$6:$C$72=$C18)*('Price History'!$D$6:$D$72&lt;=MIN(DATE(2025,12,31),'Price Analysis'!$C$4))*ROW('Price History'!$E$6:$E$72)))-5))</f>
        <v>10.99</v>
      </c>
      <c r="L18" s="34" t="n">
        <f aca="false">IF(SUMPRODUCT(MAX(('Price History'!$B$6:$B$72=$B18)*('Price History'!$C$6:$C$72=$C18)*('Price History'!$D$6:$D$72&lt;=MIN(DATE(2026,12,31),'Price Analysis'!$C$4))*ROW('Price History'!$E$6:$E$72)))=0,"",INDEX('Price History'!$E$6:$E$72,SUMPRODUCT(MAX(('Price History'!$B$6:$B$72=$B18)*('Price History'!$C$6:$C$72=$C18)*('Price History'!$D$6:$D$72&lt;=MIN(DATE(2026,12,31),'Price Analysis'!$C$4))*ROW('Price History'!$E$6:$E$72)))-5))</f>
        <v>10.99</v>
      </c>
    </row>
    <row r="19" customFormat="false" ht="15" hidden="false" customHeight="false" outlineLevel="0" collapsed="false">
      <c r="B19" s="19" t="s">
        <v>175</v>
      </c>
      <c r="C19" s="26" t="s">
        <v>176</v>
      </c>
      <c r="D19" s="29" t="s">
        <v>220</v>
      </c>
      <c r="E19" s="34" t="str">
        <f aca="false">IF(SUMPRODUCT(MAX(('Price History'!$B$6:$B$72=$B19)*('Price History'!$C$6:$C$72=$C19)*('Price History'!$D$6:$D$72&lt;=MIN(DATE(2019,12,31),'Price Analysis'!$C$4))*ROW('Price History'!$E$6:$E$72)))=0,"",INDEX('Price History'!$E$6:$E$72,SUMPRODUCT(MAX(('Price History'!$B$6:$B$72=$B19)*('Price History'!$C$6:$C$72=$C19)*('Price History'!$D$6:$D$72&lt;=MIN(DATE(2019,12,31),'Price Analysis'!$C$4))*ROW('Price History'!$E$6:$E$72)))-5))</f>
        <v/>
      </c>
      <c r="F19" s="34" t="str">
        <f aca="false">IF(SUMPRODUCT(MAX(('Price History'!$B$6:$B$72=$B19)*('Price History'!$C$6:$C$72=$C19)*('Price History'!$D$6:$D$72&lt;=MIN(DATE(2020,12,31),'Price Analysis'!$C$4))*ROW('Price History'!$E$6:$E$72)))=0,"",INDEX('Price History'!$E$6:$E$72,SUMPRODUCT(MAX(('Price History'!$B$6:$B$72=$B19)*('Price History'!$C$6:$C$72=$C19)*('Price History'!$D$6:$D$72&lt;=MIN(DATE(2020,12,31),'Price Analysis'!$C$4))*ROW('Price History'!$E$6:$E$72)))-5))</f>
        <v/>
      </c>
      <c r="G19" s="34" t="n">
        <f aca="false">IF(SUMPRODUCT(MAX(('Price History'!$B$6:$B$72=$B19)*('Price History'!$C$6:$C$72=$C19)*('Price History'!$D$6:$D$72&lt;=MIN(DATE(2021,12,31),'Price Analysis'!$C$4))*ROW('Price History'!$E$6:$E$72)))=0,"",INDEX('Price History'!$E$6:$E$72,SUMPRODUCT(MAX(('Price History'!$B$6:$B$72=$B19)*('Price History'!$C$6:$C$72=$C19)*('Price History'!$D$6:$D$72&lt;=MIN(DATE(2021,12,31),'Price Analysis'!$C$4))*ROW('Price History'!$E$6:$E$72)))-5))</f>
        <v>4.99</v>
      </c>
      <c r="H19" s="34" t="n">
        <f aca="false">IF(SUMPRODUCT(MAX(('Price History'!$B$6:$B$72=$B19)*('Price History'!$C$6:$C$72=$C19)*('Price History'!$D$6:$D$72&lt;=MIN(DATE(2022,12,31),'Price Analysis'!$C$4))*ROW('Price History'!$E$6:$E$72)))=0,"",INDEX('Price History'!$E$6:$E$72,SUMPRODUCT(MAX(('Price History'!$B$6:$B$72=$B19)*('Price History'!$C$6:$C$72=$C19)*('Price History'!$D$6:$D$72&lt;=MIN(DATE(2022,12,31),'Price Analysis'!$C$4))*ROW('Price History'!$E$6:$E$72)))-5))</f>
        <v>4.99</v>
      </c>
      <c r="I19" s="34" t="n">
        <f aca="false">IF(SUMPRODUCT(MAX(('Price History'!$B$6:$B$72=$B19)*('Price History'!$C$6:$C$72=$C19)*('Price History'!$D$6:$D$72&lt;=MIN(DATE(2023,12,31),'Price Analysis'!$C$4))*ROW('Price History'!$E$6:$E$72)))=0,"",INDEX('Price History'!$E$6:$E$72,SUMPRODUCT(MAX(('Price History'!$B$6:$B$72=$B19)*('Price History'!$C$6:$C$72=$C19)*('Price History'!$D$6:$D$72&lt;=MIN(DATE(2023,12,31),'Price Analysis'!$C$4))*ROW('Price History'!$E$6:$E$72)))-5))</f>
        <v>5.99</v>
      </c>
      <c r="J19" s="34" t="n">
        <f aca="false">IF(SUMPRODUCT(MAX(('Price History'!$B$6:$B$72=$B19)*('Price History'!$C$6:$C$72=$C19)*('Price History'!$D$6:$D$72&lt;=MIN(DATE(2024,12,31),'Price Analysis'!$C$4))*ROW('Price History'!$E$6:$E$72)))=0,"",INDEX('Price History'!$E$6:$E$72,SUMPRODUCT(MAX(('Price History'!$B$6:$B$72=$B19)*('Price History'!$C$6:$C$72=$C19)*('Price History'!$D$6:$D$72&lt;=MIN(DATE(2024,12,31),'Price Analysis'!$C$4))*ROW('Price History'!$E$6:$E$72)))-5))</f>
        <v>7.99</v>
      </c>
      <c r="K19" s="34" t="n">
        <f aca="false">IF(SUMPRODUCT(MAX(('Price History'!$B$6:$B$72=$B19)*('Price History'!$C$6:$C$72=$C19)*('Price History'!$D$6:$D$72&lt;=MIN(DATE(2025,12,31),'Price Analysis'!$C$4))*ROW('Price History'!$E$6:$E$72)))=0,"",INDEX('Price History'!$E$6:$E$72,SUMPRODUCT(MAX(('Price History'!$B$6:$B$72=$B19)*('Price History'!$C$6:$C$72=$C19)*('Price History'!$D$6:$D$72&lt;=MIN(DATE(2025,12,31),'Price Analysis'!$C$4))*ROW('Price History'!$E$6:$E$72)))-5))</f>
        <v>7.99</v>
      </c>
      <c r="L19" s="34" t="n">
        <f aca="false">IF(SUMPRODUCT(MAX(('Price History'!$B$6:$B$72=$B19)*('Price History'!$C$6:$C$72=$C19)*('Price History'!$D$6:$D$72&lt;=MIN(DATE(2026,12,31),'Price Analysis'!$C$4))*ROW('Price History'!$E$6:$E$72)))=0,"",INDEX('Price History'!$E$6:$E$72,SUMPRODUCT(MAX(('Price History'!$B$6:$B$72=$B19)*('Price History'!$C$6:$C$72=$C19)*('Price History'!$D$6:$D$72&lt;=MIN(DATE(2026,12,31),'Price Analysis'!$C$4))*ROW('Price History'!$E$6:$E$72)))-5))</f>
        <v>8.99</v>
      </c>
    </row>
    <row r="21" customFormat="false" ht="15" hidden="false" customHeight="false" outlineLevel="0" collapsed="false">
      <c r="B21" s="17" t="s">
        <v>221</v>
      </c>
      <c r="C21" s="17"/>
      <c r="D21" s="17"/>
      <c r="E21" s="17"/>
      <c r="F21" s="17"/>
      <c r="G21" s="17"/>
      <c r="H21" s="17"/>
      <c r="I21" s="17"/>
      <c r="J21" s="17"/>
      <c r="K21" s="17"/>
      <c r="L21" s="17"/>
      <c r="M21" s="17"/>
    </row>
  </sheetData>
  <mergeCells count="3">
    <mergeCell ref="B2:M2"/>
    <mergeCell ref="B3:M3"/>
    <mergeCell ref="B21:M21"/>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1"/>
    <col collapsed="false" customWidth="true" hidden="false" outlineLevel="0" max="4" min="4" style="0" width="13"/>
    <col collapsed="false" customWidth="true" hidden="false" outlineLevel="0" max="6" min="5" style="0" width="11"/>
    <col collapsed="false" customWidth="true" hidden="false" outlineLevel="0" max="7" min="7" style="0" width="8"/>
    <col collapsed="false" customWidth="true" hidden="false" outlineLevel="0" max="9" min="8" style="0" width="11"/>
    <col collapsed="false" customWidth="true" hidden="false" outlineLevel="0" max="10" min="10" style="0" width="3"/>
    <col collapsed="false" customWidth="true" hidden="false" outlineLevel="0" max="11" min="11" style="0" width="14"/>
    <col collapsed="false" customWidth="true" hidden="false" outlineLevel="0" max="12" min="12" style="0" width="10"/>
  </cols>
  <sheetData>
    <row r="2" customFormat="false" ht="25.5" hidden="false" customHeight="true" outlineLevel="0" collapsed="false">
      <c r="B2" s="12" t="s">
        <v>222</v>
      </c>
      <c r="C2" s="12"/>
      <c r="D2" s="12"/>
      <c r="E2" s="12"/>
      <c r="F2" s="12"/>
      <c r="G2" s="12"/>
      <c r="H2" s="12"/>
      <c r="I2" s="12"/>
    </row>
    <row r="3" customFormat="false" ht="31.5" hidden="false" customHeight="true" outlineLevel="0" collapsed="false">
      <c r="B3" s="13" t="s">
        <v>223</v>
      </c>
      <c r="C3" s="13"/>
      <c r="D3" s="13"/>
      <c r="E3" s="13"/>
      <c r="F3" s="13"/>
      <c r="G3" s="13"/>
      <c r="H3" s="13"/>
      <c r="I3" s="13"/>
    </row>
    <row r="4" customFormat="false" ht="15" hidden="false" customHeight="false" outlineLevel="0" collapsed="false">
      <c r="B4" s="3" t="s">
        <v>224</v>
      </c>
      <c r="C4" s="35" t="n">
        <v>46232</v>
      </c>
      <c r="D4" s="36" t="s">
        <v>225</v>
      </c>
    </row>
    <row r="6" customFormat="false" ht="31.5" hidden="false" customHeight="true" outlineLevel="0" collapsed="false">
      <c r="B6" s="18" t="s">
        <v>46</v>
      </c>
      <c r="C6" s="18" t="s">
        <v>226</v>
      </c>
      <c r="D6" s="18" t="s">
        <v>227</v>
      </c>
      <c r="E6" s="18" t="s">
        <v>228</v>
      </c>
      <c r="F6" s="18" t="s">
        <v>229</v>
      </c>
      <c r="G6" s="18" t="s">
        <v>230</v>
      </c>
      <c r="H6" s="18" t="s">
        <v>48</v>
      </c>
      <c r="I6" s="18" t="s">
        <v>49</v>
      </c>
    </row>
    <row r="7" customFormat="false" ht="15" hidden="false" customHeight="false" outlineLevel="0" collapsed="false">
      <c r="B7" s="19" t="s">
        <v>150</v>
      </c>
      <c r="C7" s="26" t="s">
        <v>85</v>
      </c>
      <c r="D7" s="37" t="n">
        <f aca="false">INDEX('Price History'!$D$6:$D$72,MATCH(1,INDEX(('Price History'!$B$6:$B$72=$B7)*('Price History'!$C$6:$C$72=$C7),0),0))</f>
        <v>43480</v>
      </c>
      <c r="E7" s="34" t="n">
        <f aca="false">INDEX('Price History'!$E$6:$E$72,MATCH(1,INDEX(('Price History'!$B$6:$B$72=$B7)*('Price History'!$C$6:$C$72=$C7),0),0))</f>
        <v>12.99</v>
      </c>
      <c r="F7" s="34" t="n">
        <f aca="false">INDEX('Price History'!$E$6:$E$72,SUMPRODUCT(MAX(('Price History'!$B$6:$B$72=$B7)*('Price History'!$C$6:$C$72=$C7)*('Price History'!$D$6:$D$72&lt;=$C$4)*ROW('Price History'!$E$6:$E$72))) -5)</f>
        <v>19.99</v>
      </c>
      <c r="G7" s="38" t="n">
        <f aca="false">YEARFRAC(D7,$C$4,1)</f>
        <v>7.53456536618754</v>
      </c>
      <c r="H7" s="21" t="n">
        <f aca="false">F7/E7-1</f>
        <v>0.538876058506543</v>
      </c>
      <c r="I7" s="22" t="n">
        <f aca="false">(F7/E7)^(1/G7)-1</f>
        <v>0.0588781280235087</v>
      </c>
    </row>
    <row r="8" customFormat="false" ht="15" hidden="false" customHeight="false" outlineLevel="0" collapsed="false">
      <c r="B8" s="19" t="s">
        <v>98</v>
      </c>
      <c r="C8" s="26" t="s">
        <v>109</v>
      </c>
      <c r="D8" s="37" t="n">
        <f aca="false">INDEX('Price History'!$D$6:$D$72,MATCH(1,INDEX(('Price History'!$B$6:$B$72=$B8)*('Price History'!$C$6:$C$72=$C8),0),0))</f>
        <v>43781</v>
      </c>
      <c r="E8" s="34" t="n">
        <f aca="false">INDEX('Price History'!$E$6:$E$72,MATCH(1,INDEX(('Price History'!$B$6:$B$72=$B8)*('Price History'!$C$6:$C$72=$C8),0),0))</f>
        <v>6.99</v>
      </c>
      <c r="F8" s="34" t="n">
        <f aca="false">INDEX('Price History'!$E$6:$E$72,SUMPRODUCT(MAX(('Price History'!$B$6:$B$72=$B8)*('Price History'!$C$6:$C$72=$C8)*('Price History'!$D$6:$D$72&lt;=$C$4)*ROW('Price History'!$E$6:$E$72))) -5)</f>
        <v>18.99</v>
      </c>
      <c r="G8" s="38" t="n">
        <f aca="false">YEARFRAC(D8,$C$4,1)</f>
        <v>6.71047227926078</v>
      </c>
      <c r="H8" s="21" t="n">
        <f aca="false">F8/E8-1</f>
        <v>1.71673819742489</v>
      </c>
      <c r="I8" s="22" t="n">
        <f aca="false">(F8/E8)^(1/G8)-1</f>
        <v>0.160598893435575</v>
      </c>
    </row>
    <row r="9" customFormat="false" ht="15" hidden="false" customHeight="false" outlineLevel="0" collapsed="false">
      <c r="B9" s="19" t="s">
        <v>141</v>
      </c>
      <c r="C9" s="26" t="s">
        <v>142</v>
      </c>
      <c r="D9" s="37" t="n">
        <f aca="false">INDEX('Price History'!$D$6:$D$72,MATCH(1,INDEX(('Price History'!$B$6:$B$72=$B9)*('Price History'!$C$6:$C$72=$C9),0),0))</f>
        <v>43466</v>
      </c>
      <c r="E9" s="34" t="n">
        <f aca="false">INDEX('Price History'!$E$6:$E$72,MATCH(1,INDEX(('Price History'!$B$6:$B$72=$B9)*('Price History'!$C$6:$C$72=$C9),0),0))</f>
        <v>11.99</v>
      </c>
      <c r="F9" s="34" t="n">
        <f aca="false">INDEX('Price History'!$E$6:$E$72,SUMPRODUCT(MAX(('Price History'!$B$6:$B$72=$B9)*('Price History'!$C$6:$C$72=$C9)*('Price History'!$D$6:$D$72&lt;=$C$4)*ROW('Price History'!$E$6:$E$72))) -5)</f>
        <v>18.99</v>
      </c>
      <c r="G9" s="38" t="n">
        <f aca="false">YEARFRAC(D9,$C$4,1)</f>
        <v>7.57289527720739</v>
      </c>
      <c r="H9" s="21" t="n">
        <f aca="false">F9/E9-1</f>
        <v>0.583819849874896</v>
      </c>
      <c r="I9" s="22" t="n">
        <f aca="false">(F9/E9)^(1/G9)-1</f>
        <v>0.0626032180172844</v>
      </c>
    </row>
    <row r="10" customFormat="false" ht="15" hidden="false" customHeight="false" outlineLevel="0" collapsed="false">
      <c r="B10" s="19" t="s">
        <v>129</v>
      </c>
      <c r="C10" s="26" t="s">
        <v>85</v>
      </c>
      <c r="D10" s="37" t="n">
        <f aca="false">INDEX('Price History'!$D$6:$D$72,MATCH(1,INDEX(('Price History'!$B$6:$B$72=$B10)*('Price History'!$C$6:$C$72=$C10),0),0))</f>
        <v>43978</v>
      </c>
      <c r="E10" s="34" t="n">
        <f aca="false">INDEX('Price History'!$E$6:$E$72,MATCH(1,INDEX(('Price History'!$B$6:$B$72=$B10)*('Price History'!$C$6:$C$72=$C10),0),0))</f>
        <v>14.99</v>
      </c>
      <c r="F10" s="34" t="n">
        <f aca="false">INDEX('Price History'!$E$6:$E$72,SUMPRODUCT(MAX(('Price History'!$B$6:$B$72=$B10)*('Price History'!$C$6:$C$72=$C10)*('Price History'!$D$6:$D$72&lt;=$C$4)*ROW('Price History'!$E$6:$E$72))) -5)</f>
        <v>18.49</v>
      </c>
      <c r="G10" s="38" t="n">
        <f aca="false">YEARFRAC(D10,$C$4,1)</f>
        <v>6.17051231912397</v>
      </c>
      <c r="H10" s="21" t="n">
        <f aca="false">F10/E10-1</f>
        <v>0.233488992661774</v>
      </c>
      <c r="I10" s="22" t="n">
        <f aca="false">(F10/E10)^(1/G10)-1</f>
        <v>0.0345928751110114</v>
      </c>
    </row>
    <row r="11" customFormat="false" ht="15" hidden="false" customHeight="false" outlineLevel="0" collapsed="false">
      <c r="B11" s="19" t="s">
        <v>190</v>
      </c>
      <c r="C11" s="26" t="s">
        <v>191</v>
      </c>
      <c r="D11" s="37" t="n">
        <f aca="false">INDEX('Price History'!$D$6:$D$72,MATCH(1,INDEX(('Price History'!$B$6:$B$72=$B11)*('Price History'!$C$6:$C$72=$C11),0),0))</f>
        <v>44027</v>
      </c>
      <c r="E11" s="34" t="n">
        <f aca="false">INDEX('Price History'!$E$6:$E$72,MATCH(1,INDEX(('Price History'!$B$6:$B$72=$B11)*('Price History'!$C$6:$C$72=$C11),0),0))</f>
        <v>9.99</v>
      </c>
      <c r="F11" s="34" t="n">
        <f aca="false">INDEX('Price History'!$E$6:$E$72,SUMPRODUCT(MAX(('Price History'!$B$6:$B$72=$B11)*('Price History'!$C$6:$C$72=$C11)*('Price History'!$D$6:$D$72&lt;=$C$4)*ROW('Price History'!$E$6:$E$72))) -5)</f>
        <v>16.99</v>
      </c>
      <c r="G11" s="38" t="n">
        <f aca="false">YEARFRAC(D11,$C$4,1)</f>
        <v>6.0363707469691</v>
      </c>
      <c r="H11" s="21" t="n">
        <f aca="false">F11/E11-1</f>
        <v>0.700700700700701</v>
      </c>
      <c r="I11" s="22" t="n">
        <f aca="false">(F11/E11)^(1/G11)-1</f>
        <v>0.0919591270411417</v>
      </c>
    </row>
    <row r="12" customFormat="false" ht="15" hidden="false" customHeight="false" outlineLevel="0" collapsed="false">
      <c r="B12" s="19" t="s">
        <v>175</v>
      </c>
      <c r="C12" s="26" t="s">
        <v>109</v>
      </c>
      <c r="D12" s="37" t="n">
        <f aca="false">INDEX('Price History'!$D$6:$D$72,MATCH(1,INDEX(('Price History'!$B$6:$B$72=$B12)*('Price History'!$C$6:$C$72=$C12),0),0))</f>
        <v>44259</v>
      </c>
      <c r="E12" s="34" t="n">
        <f aca="false">INDEX('Price History'!$E$6:$E$72,MATCH(1,INDEX(('Price History'!$B$6:$B$72=$B12)*('Price History'!$C$6:$C$72=$C12),0),0))</f>
        <v>9.99</v>
      </c>
      <c r="F12" s="34" t="n">
        <f aca="false">INDEX('Price History'!$E$6:$E$72,SUMPRODUCT(MAX(('Price History'!$B$6:$B$72=$B12)*('Price History'!$C$6:$C$72=$C12)*('Price History'!$D$6:$D$72&lt;=$C$4)*ROW('Price History'!$E$6:$E$72))) -5)</f>
        <v>13.99</v>
      </c>
      <c r="G12" s="38" t="n">
        <f aca="false">YEARFRAC(D12,$C$4,1)</f>
        <v>5.40301232314012</v>
      </c>
      <c r="H12" s="21" t="n">
        <f aca="false">F12/E12-1</f>
        <v>0.400400400400401</v>
      </c>
      <c r="I12" s="22" t="n">
        <f aca="false">(F12/E12)^(1/G12)-1</f>
        <v>0.0643112326837456</v>
      </c>
    </row>
    <row r="13" customFormat="false" ht="15" hidden="false" customHeight="false" outlineLevel="0" collapsed="false">
      <c r="B13" s="19" t="s">
        <v>84</v>
      </c>
      <c r="C13" s="26" t="s">
        <v>85</v>
      </c>
      <c r="D13" s="37" t="n">
        <f aca="false">INDEX('Price History'!$D$6:$D$72,MATCH(1,INDEX(('Price History'!$B$6:$B$72=$B13)*('Price History'!$C$6:$C$72=$C13),0),0))</f>
        <v>43770</v>
      </c>
      <c r="E13" s="34" t="n">
        <f aca="false">INDEX('Price History'!$E$6:$E$72,MATCH(1,INDEX(('Price History'!$B$6:$B$72=$B13)*('Price History'!$C$6:$C$72=$C13),0),0))</f>
        <v>4.99</v>
      </c>
      <c r="F13" s="34" t="n">
        <f aca="false">INDEX('Price History'!$E$6:$E$72,SUMPRODUCT(MAX(('Price History'!$B$6:$B$72=$B13)*('Price History'!$C$6:$C$72=$C13)*('Price History'!$D$6:$D$72&lt;=$C$4)*ROW('Price History'!$E$6:$E$72))) -5)</f>
        <v>12.99</v>
      </c>
      <c r="G13" s="38" t="n">
        <f aca="false">YEARFRAC(D13,$C$4,1)</f>
        <v>6.74058863791923</v>
      </c>
      <c r="H13" s="21" t="n">
        <f aca="false">F13/E13-1</f>
        <v>1.60320641282565</v>
      </c>
      <c r="I13" s="22" t="n">
        <f aca="false">(F13/E13)^(1/G13)-1</f>
        <v>0.152504891927141</v>
      </c>
    </row>
    <row r="14" customFormat="false" ht="15" hidden="false" customHeight="false" outlineLevel="0" collapsed="false">
      <c r="B14" s="19" t="s">
        <v>119</v>
      </c>
      <c r="C14" s="26" t="s">
        <v>120</v>
      </c>
      <c r="D14" s="37" t="n">
        <f aca="false">INDEX('Price History'!$D$6:$D$72,MATCH(1,INDEX(('Price History'!$B$6:$B$72=$B14)*('Price History'!$C$6:$C$72=$C14),0),0))</f>
        <v>43202</v>
      </c>
      <c r="E14" s="34" t="n">
        <f aca="false">INDEX('Price History'!$E$6:$E$72,MATCH(1,INDEX(('Price History'!$B$6:$B$72=$B14)*('Price History'!$C$6:$C$72=$C14),0),0))</f>
        <v>4.99</v>
      </c>
      <c r="F14" s="34" t="n">
        <f aca="false">INDEX('Price History'!$E$6:$E$72,SUMPRODUCT(MAX(('Price History'!$B$6:$B$72=$B14)*('Price History'!$C$6:$C$72=$C14)*('Price History'!$D$6:$D$72&lt;=$C$4)*ROW('Price History'!$E$6:$E$72))) -5)</f>
        <v>12.99</v>
      </c>
      <c r="G14" s="38" t="n">
        <f aca="false">YEARFRAC(D14,$C$4,1)</f>
        <v>8.29631883176148</v>
      </c>
      <c r="H14" s="21" t="n">
        <f aca="false">F14/E14-1</f>
        <v>1.60320641282565</v>
      </c>
      <c r="I14" s="22" t="n">
        <f aca="false">(F14/E14)^(1/G14)-1</f>
        <v>0.122234176347874</v>
      </c>
    </row>
    <row r="15" customFormat="false" ht="15" hidden="false" customHeight="false" outlineLevel="0" collapsed="false">
      <c r="B15" s="19" t="s">
        <v>231</v>
      </c>
      <c r="C15" s="29"/>
      <c r="D15" s="29"/>
      <c r="E15" s="29"/>
      <c r="F15" s="29"/>
      <c r="G15" s="29"/>
      <c r="H15" s="39" t="n">
        <f aca="false">AVERAGE(H7:H14)</f>
        <v>0.922554628152564</v>
      </c>
      <c r="I15" s="22" t="n">
        <f aca="false">AVERAGE(I7:I14)</f>
        <v>0.0934603178234104</v>
      </c>
    </row>
    <row r="16" customFormat="false" ht="15" hidden="false" customHeight="false" outlineLevel="0" collapsed="false">
      <c r="B16" s="19" t="s">
        <v>232</v>
      </c>
      <c r="C16" s="29"/>
      <c r="D16" s="29"/>
      <c r="E16" s="29"/>
      <c r="F16" s="29"/>
      <c r="G16" s="29"/>
      <c r="H16" s="39" t="n">
        <f aca="false">MEDIAN(H7:H14)</f>
        <v>0.642260275287798</v>
      </c>
      <c r="I16" s="22" t="n">
        <f aca="false">MEDIAN(I7:I14)</f>
        <v>0.0781351798624437</v>
      </c>
    </row>
    <row r="17" customFormat="false" ht="15" hidden="false" customHeight="false" outlineLevel="0" collapsed="false">
      <c r="B17" s="19" t="s">
        <v>233</v>
      </c>
      <c r="C17" s="29"/>
      <c r="D17" s="29"/>
      <c r="E17" s="29"/>
      <c r="F17" s="29"/>
      <c r="G17" s="29"/>
      <c r="H17" s="40" t="str">
        <f aca="false">COUNT(I7:I14)&amp;" services"</f>
        <v>8 services</v>
      </c>
      <c r="I17" s="40" t="str">
        <f aca="false">TEXT(MIN(I7:I14),"0.0%")&amp;" – "&amp;TEXT(MAX(I7:I14),"0.0%")</f>
        <v>3.5% – 16.1%</v>
      </c>
    </row>
    <row r="19" customFormat="false" ht="25.5" hidden="false" customHeight="true" outlineLevel="0" collapsed="false">
      <c r="B19" s="41" t="s">
        <v>234</v>
      </c>
      <c r="C19" s="41"/>
      <c r="D19" s="41"/>
      <c r="E19" s="41"/>
      <c r="F19" s="41"/>
      <c r="G19" s="41"/>
      <c r="H19" s="41"/>
      <c r="I19" s="41"/>
    </row>
    <row r="20" customFormat="false" ht="31.5" hidden="false" customHeight="true" outlineLevel="0" collapsed="false">
      <c r="B20" s="18" t="s">
        <v>46</v>
      </c>
      <c r="C20" s="18" t="s">
        <v>235</v>
      </c>
      <c r="D20" s="18" t="s">
        <v>229</v>
      </c>
      <c r="E20" s="18" t="s">
        <v>230</v>
      </c>
      <c r="F20" s="18" t="s">
        <v>48</v>
      </c>
      <c r="G20" s="18" t="s">
        <v>49</v>
      </c>
    </row>
    <row r="21" customFormat="false" ht="15" hidden="false" customHeight="false" outlineLevel="0" collapsed="false">
      <c r="B21" s="19" t="s">
        <v>150</v>
      </c>
      <c r="C21" s="34" t="n">
        <f aca="false">Panel!H6</f>
        <v>15.49</v>
      </c>
      <c r="D21" s="34" t="n">
        <f aca="false">Panel!L6</f>
        <v>19.99</v>
      </c>
      <c r="E21" s="38" t="n">
        <f aca="false">YEARFRAC(DATE(2022,12,31),$C$4,1)</f>
        <v>3.57612267250821</v>
      </c>
      <c r="F21" s="21" t="n">
        <f aca="false">D21/C21-1</f>
        <v>0.290510006455778</v>
      </c>
      <c r="G21" s="22" t="n">
        <f aca="false">(D21/C21)^(1/E21)-1</f>
        <v>0.0739213508419205</v>
      </c>
    </row>
    <row r="22" customFormat="false" ht="15" hidden="false" customHeight="false" outlineLevel="0" collapsed="false">
      <c r="B22" s="19" t="s">
        <v>98</v>
      </c>
      <c r="C22" s="34" t="n">
        <f aca="false">Panel!H7</f>
        <v>10.99</v>
      </c>
      <c r="D22" s="34" t="n">
        <f aca="false">Panel!L7</f>
        <v>18.99</v>
      </c>
      <c r="E22" s="38" t="n">
        <f aca="false">YEARFRAC(DATE(2022,12,31),$C$4,1)</f>
        <v>3.57612267250821</v>
      </c>
      <c r="F22" s="21" t="n">
        <f aca="false">D22/C22-1</f>
        <v>0.727934485896269</v>
      </c>
      <c r="G22" s="22" t="n">
        <f aca="false">(D22/C22)^(1/E22)-1</f>
        <v>0.16525328728632</v>
      </c>
    </row>
    <row r="23" customFormat="false" ht="15" hidden="false" customHeight="false" outlineLevel="0" collapsed="false">
      <c r="B23" s="19" t="s">
        <v>141</v>
      </c>
      <c r="C23" s="34" t="n">
        <f aca="false">Panel!H8</f>
        <v>14.99</v>
      </c>
      <c r="D23" s="34" t="n">
        <f aca="false">Panel!L8</f>
        <v>18.99</v>
      </c>
      <c r="E23" s="38" t="n">
        <f aca="false">YEARFRAC(DATE(2022,12,31),$C$4,1)</f>
        <v>3.57612267250821</v>
      </c>
      <c r="F23" s="21" t="n">
        <f aca="false">D23/C23-1</f>
        <v>0.266844563042028</v>
      </c>
      <c r="G23" s="22" t="n">
        <f aca="false">(D23/C23)^(1/E23)-1</f>
        <v>0.0683776115594075</v>
      </c>
    </row>
    <row r="24" customFormat="false" ht="15" hidden="false" customHeight="false" outlineLevel="0" collapsed="false">
      <c r="B24" s="19" t="s">
        <v>129</v>
      </c>
      <c r="C24" s="34" t="n">
        <f aca="false">Panel!H9</f>
        <v>14.99</v>
      </c>
      <c r="D24" s="34" t="n">
        <f aca="false">Panel!L9</f>
        <v>18.49</v>
      </c>
      <c r="E24" s="38" t="n">
        <f aca="false">YEARFRAC(DATE(2022,12,31),$C$4,1)</f>
        <v>3.57612267250821</v>
      </c>
      <c r="F24" s="21" t="n">
        <f aca="false">D24/C24-1</f>
        <v>0.233488992661774</v>
      </c>
      <c r="G24" s="22" t="n">
        <f aca="false">(D24/C24)^(1/E24)-1</f>
        <v>0.0604358039308435</v>
      </c>
    </row>
    <row r="25" customFormat="false" ht="15" hidden="false" customHeight="false" outlineLevel="0" collapsed="false">
      <c r="B25" s="19" t="s">
        <v>190</v>
      </c>
      <c r="C25" s="34" t="n">
        <f aca="false">Panel!H10</f>
        <v>9.99</v>
      </c>
      <c r="D25" s="34" t="n">
        <f aca="false">Panel!L10</f>
        <v>16.99</v>
      </c>
      <c r="E25" s="38" t="n">
        <f aca="false">YEARFRAC(DATE(2022,12,31),$C$4,1)</f>
        <v>3.57612267250821</v>
      </c>
      <c r="F25" s="21" t="n">
        <f aca="false">D25/C25-1</f>
        <v>0.700700700700701</v>
      </c>
      <c r="G25" s="22" t="n">
        <f aca="false">(D25/C25)^(1/E25)-1</f>
        <v>0.160088297113555</v>
      </c>
    </row>
    <row r="26" customFormat="false" ht="15" hidden="false" customHeight="false" outlineLevel="0" collapsed="false">
      <c r="B26" s="19" t="s">
        <v>175</v>
      </c>
      <c r="C26" s="34" t="n">
        <f aca="false">Panel!H11</f>
        <v>9.99</v>
      </c>
      <c r="D26" s="34" t="n">
        <f aca="false">Panel!L11</f>
        <v>13.99</v>
      </c>
      <c r="E26" s="38" t="n">
        <f aca="false">YEARFRAC(DATE(2022,12,31),$C$4,1)</f>
        <v>3.57612267250821</v>
      </c>
      <c r="F26" s="21" t="n">
        <f aca="false">D26/C26-1</f>
        <v>0.400400400400401</v>
      </c>
      <c r="G26" s="22" t="n">
        <f aca="false">(D26/C26)^(1/E26)-1</f>
        <v>0.0987448959082646</v>
      </c>
    </row>
    <row r="27" customFormat="false" ht="15" hidden="false" customHeight="false" outlineLevel="0" collapsed="false">
      <c r="B27" s="19" t="s">
        <v>84</v>
      </c>
      <c r="C27" s="34" t="n">
        <f aca="false">Panel!H12</f>
        <v>6.99</v>
      </c>
      <c r="D27" s="34" t="n">
        <f aca="false">Panel!L12</f>
        <v>12.99</v>
      </c>
      <c r="E27" s="38" t="n">
        <f aca="false">YEARFRAC(DATE(2022,12,31),$C$4,1)</f>
        <v>3.57612267250821</v>
      </c>
      <c r="F27" s="21" t="n">
        <f aca="false">D27/C27-1</f>
        <v>0.858369098712446</v>
      </c>
      <c r="G27" s="22" t="n">
        <f aca="false">(D27/C27)^(1/E27)-1</f>
        <v>0.189208590650765</v>
      </c>
    </row>
    <row r="28" customFormat="false" ht="15" hidden="false" customHeight="false" outlineLevel="0" collapsed="false">
      <c r="B28" s="19" t="s">
        <v>119</v>
      </c>
      <c r="C28" s="34" t="n">
        <f aca="false">Panel!H13</f>
        <v>9.99</v>
      </c>
      <c r="D28" s="34" t="n">
        <f aca="false">Panel!L13</f>
        <v>12.99</v>
      </c>
      <c r="E28" s="38" t="n">
        <f aca="false">YEARFRAC(DATE(2022,12,31),$C$4,1)</f>
        <v>3.57612267250821</v>
      </c>
      <c r="F28" s="21" t="n">
        <f aca="false">D28/C28-1</f>
        <v>0.3003003003003</v>
      </c>
      <c r="G28" s="22" t="n">
        <f aca="false">(D28/C28)^(1/E28)-1</f>
        <v>0.0761933660814398</v>
      </c>
    </row>
    <row r="29" customFormat="false" ht="15" hidden="false" customHeight="false" outlineLevel="0" collapsed="false">
      <c r="B29" s="19" t="s">
        <v>231</v>
      </c>
      <c r="C29" s="29"/>
      <c r="D29" s="29"/>
      <c r="E29" s="29"/>
      <c r="F29" s="39" t="n">
        <f aca="false">AVERAGE(F21:F28)</f>
        <v>0.472318568521212</v>
      </c>
      <c r="G29" s="22" t="n">
        <f aca="false">AVERAGE(G21:G28)</f>
        <v>0.111527900421564</v>
      </c>
    </row>
    <row r="30" customFormat="false" ht="15" hidden="false" customHeight="false" outlineLevel="0" collapsed="false">
      <c r="B30" s="19" t="s">
        <v>232</v>
      </c>
      <c r="C30" s="29"/>
      <c r="D30" s="29"/>
      <c r="E30" s="29"/>
      <c r="F30" s="39" t="n">
        <f aca="false">MEDIAN(F21:F28)</f>
        <v>0.35035035035035</v>
      </c>
      <c r="G30" s="22" t="n">
        <f aca="false">MEDIAN(G21:G28)</f>
        <v>0.0874691309948522</v>
      </c>
    </row>
    <row r="31" customFormat="false" ht="15" hidden="false" customHeight="false" outlineLevel="0" collapsed="false">
      <c r="B31" s="19" t="s">
        <v>42</v>
      </c>
      <c r="C31" s="29"/>
      <c r="D31" s="29"/>
      <c r="E31" s="29"/>
      <c r="F31" s="39" t="n">
        <f aca="false">'CPI Deflator'!D13/'CPI Deflator'!D9-1</f>
        <v>0.13922536775384</v>
      </c>
      <c r="G31" s="39" t="n">
        <f aca="false">('CPI Deflator'!D13/'CPI Deflator'!D9)^(1/E21)-1</f>
        <v>0.0371221154206298</v>
      </c>
    </row>
    <row r="32" customFormat="false" ht="15" hidden="false" customHeight="false" outlineLevel="0" collapsed="false">
      <c r="B32" s="19" t="s">
        <v>236</v>
      </c>
      <c r="C32" s="29"/>
      <c r="D32" s="29"/>
      <c r="E32" s="29"/>
      <c r="F32" s="29"/>
      <c r="G32" s="42" t="n">
        <f aca="false">G29/G31</f>
        <v>3.00435196534046</v>
      </c>
    </row>
    <row r="34" customFormat="false" ht="15" hidden="false" customHeight="false" outlineLevel="0" collapsed="false">
      <c r="B34" s="3" t="s">
        <v>237</v>
      </c>
    </row>
    <row r="35" customFormat="false" ht="15" hidden="false" customHeight="true" outlineLevel="0" collapsed="false">
      <c r="B35" s="7" t="s">
        <v>238</v>
      </c>
      <c r="C35" s="7"/>
      <c r="D35" s="7"/>
      <c r="E35" s="7"/>
      <c r="F35" s="7"/>
      <c r="G35" s="7"/>
      <c r="H35" s="7"/>
      <c r="I35" s="7"/>
    </row>
    <row r="36" customFormat="false" ht="15" hidden="false" customHeight="false" outlineLevel="0" collapsed="false">
      <c r="B36" s="7"/>
      <c r="C36" s="7"/>
      <c r="D36" s="7"/>
      <c r="E36" s="7"/>
      <c r="F36" s="7"/>
      <c r="G36" s="7"/>
      <c r="H36" s="7"/>
      <c r="I36" s="7"/>
    </row>
    <row r="37" customFormat="false" ht="15" hidden="false" customHeight="false" outlineLevel="0" collapsed="false">
      <c r="B37" s="7"/>
      <c r="C37" s="7"/>
      <c r="D37" s="7"/>
      <c r="E37" s="7"/>
      <c r="F37" s="7"/>
      <c r="G37" s="7"/>
      <c r="H37" s="7"/>
      <c r="I37" s="7"/>
    </row>
    <row r="38" customFormat="false" ht="15" hidden="false" customHeight="false" outlineLevel="0" collapsed="false">
      <c r="B38" s="7"/>
      <c r="C38" s="7"/>
      <c r="D38" s="7"/>
      <c r="E38" s="7"/>
      <c r="F38" s="7"/>
      <c r="G38" s="7"/>
      <c r="H38" s="7"/>
      <c r="I38" s="7"/>
    </row>
    <row r="39" customFormat="false" ht="15" hidden="false" customHeight="false" outlineLevel="0" collapsed="false">
      <c r="B39" s="7"/>
      <c r="C39" s="7"/>
      <c r="D39" s="7"/>
      <c r="E39" s="7"/>
      <c r="F39" s="7"/>
      <c r="G39" s="7"/>
      <c r="H39" s="7"/>
      <c r="I39" s="7"/>
    </row>
    <row r="68" customFormat="false" ht="15" hidden="false" customHeight="true" outlineLevel="0" collapsed="false">
      <c r="B68" s="33" t="s">
        <v>239</v>
      </c>
      <c r="C68" s="33"/>
      <c r="D68" s="33"/>
      <c r="E68" s="33"/>
      <c r="F68" s="33"/>
      <c r="G68" s="33"/>
      <c r="H68" s="33"/>
      <c r="I68" s="33"/>
    </row>
    <row r="69" customFormat="false" ht="15" hidden="false" customHeight="false" outlineLevel="0" collapsed="false">
      <c r="B69" s="33"/>
      <c r="C69" s="33"/>
      <c r="D69" s="33"/>
      <c r="E69" s="33"/>
      <c r="F69" s="33"/>
      <c r="G69" s="33"/>
      <c r="H69" s="33"/>
      <c r="I69" s="33"/>
    </row>
  </sheetData>
  <mergeCells count="5">
    <mergeCell ref="B2:I2"/>
    <mergeCell ref="B3:I3"/>
    <mergeCell ref="B19:I19"/>
    <mergeCell ref="B35:I39"/>
    <mergeCell ref="B68:I69"/>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rowBreaks count="1" manualBreakCount="1">
    <brk id="38"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9"/>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13"/>
    <col collapsed="false" customWidth="true" hidden="false" outlineLevel="0" max="9" min="8" style="0" width="12"/>
  </cols>
  <sheetData>
    <row r="2" customFormat="false" ht="25.5" hidden="false" customHeight="true" outlineLevel="0" collapsed="false">
      <c r="B2" s="12" t="s">
        <v>240</v>
      </c>
      <c r="C2" s="12"/>
      <c r="D2" s="12"/>
      <c r="E2" s="12"/>
      <c r="F2" s="12"/>
      <c r="G2" s="12"/>
      <c r="H2" s="12"/>
      <c r="I2" s="12"/>
    </row>
    <row r="3" customFormat="false" ht="31.5" hidden="false" customHeight="true" outlineLevel="0" collapsed="false">
      <c r="B3" s="13" t="s">
        <v>241</v>
      </c>
      <c r="C3" s="13"/>
      <c r="D3" s="13"/>
      <c r="E3" s="13"/>
      <c r="F3" s="13"/>
      <c r="G3" s="13"/>
      <c r="H3" s="13"/>
      <c r="I3" s="13"/>
    </row>
    <row r="5" customFormat="false" ht="31.5" hidden="false" customHeight="true" outlineLevel="0" collapsed="false">
      <c r="B5" s="18" t="s">
        <v>46</v>
      </c>
      <c r="C5" s="18" t="s">
        <v>242</v>
      </c>
      <c r="D5" s="18" t="s">
        <v>243</v>
      </c>
      <c r="E5" s="18" t="s">
        <v>244</v>
      </c>
      <c r="F5" s="18" t="s">
        <v>245</v>
      </c>
      <c r="G5" s="18" t="s">
        <v>246</v>
      </c>
      <c r="H5" s="18" t="s">
        <v>247</v>
      </c>
      <c r="I5" s="18" t="s">
        <v>50</v>
      </c>
    </row>
    <row r="6" customFormat="false" ht="15" hidden="false" customHeight="false" outlineLevel="0" collapsed="false">
      <c r="B6" s="19" t="str">
        <f aca="false">'Price Analysis'!B7</f>
        <v>Netflix</v>
      </c>
      <c r="C6" s="43" t="n">
        <f aca="false">YEAR('Price Analysis'!D7)</f>
        <v>2019</v>
      </c>
      <c r="D6" s="34" t="n">
        <f aca="false">'Price Analysis'!E7</f>
        <v>12.99</v>
      </c>
      <c r="E6" s="34" t="n">
        <f aca="false">D6/(INDEX('CPI Deflator'!$D$6:$D$14,MATCH(C6,'CPI Deflator'!$B$6:$B$14,0))/100)</f>
        <v>12.99</v>
      </c>
      <c r="F6" s="34" t="n">
        <f aca="false">'Price Analysis'!F7</f>
        <v>19.99</v>
      </c>
      <c r="G6" s="34" t="n">
        <f aca="false">F6/('CPI Deflator'!$D$13/100)</f>
        <v>15.3286845530894</v>
      </c>
      <c r="H6" s="21" t="n">
        <f aca="false">F6/D6-1</f>
        <v>0.538876058506543</v>
      </c>
      <c r="I6" s="22" t="n">
        <f aca="false">G6/E6-1</f>
        <v>0.180037302008421</v>
      </c>
    </row>
    <row r="7" customFormat="false" ht="15" hidden="false" customHeight="false" outlineLevel="0" collapsed="false">
      <c r="B7" s="19" t="str">
        <f aca="false">'Price Analysis'!B8</f>
        <v>Disney+</v>
      </c>
      <c r="C7" s="43" t="n">
        <f aca="false">YEAR('Price Analysis'!D8)</f>
        <v>2019</v>
      </c>
      <c r="D7" s="34" t="n">
        <f aca="false">'Price Analysis'!E8</f>
        <v>6.99</v>
      </c>
      <c r="E7" s="34" t="n">
        <f aca="false">D7/(INDEX('CPI Deflator'!$D$6:$D$14,MATCH(C7,'CPI Deflator'!$B$6:$B$14,0))/100)</f>
        <v>6.99</v>
      </c>
      <c r="F7" s="34" t="n">
        <f aca="false">'Price Analysis'!F8</f>
        <v>18.99</v>
      </c>
      <c r="G7" s="34" t="n">
        <f aca="false">F7/('CPI Deflator'!$D$13/100)</f>
        <v>14.5618669166167</v>
      </c>
      <c r="H7" s="21" t="n">
        <f aca="false">F7/D7-1</f>
        <v>1.71673819742489</v>
      </c>
      <c r="I7" s="22" t="n">
        <f aca="false">G7/E7-1</f>
        <v>1.08324276346447</v>
      </c>
    </row>
    <row r="8" customFormat="false" ht="15" hidden="false" customHeight="false" outlineLevel="0" collapsed="false">
      <c r="B8" s="19" t="str">
        <f aca="false">'Price Analysis'!B9</f>
        <v>Hulu</v>
      </c>
      <c r="C8" s="43" t="n">
        <f aca="false">YEAR('Price Analysis'!D9)</f>
        <v>2019</v>
      </c>
      <c r="D8" s="34" t="n">
        <f aca="false">'Price Analysis'!E9</f>
        <v>11.99</v>
      </c>
      <c r="E8" s="34" t="n">
        <f aca="false">D8/(INDEX('CPI Deflator'!$D$6:$D$14,MATCH(C8,'CPI Deflator'!$B$6:$B$14,0))/100)</f>
        <v>11.99</v>
      </c>
      <c r="F8" s="34" t="n">
        <f aca="false">'Price Analysis'!F9</f>
        <v>18.99</v>
      </c>
      <c r="G8" s="34" t="n">
        <f aca="false">F8/('CPI Deflator'!$D$13/100)</f>
        <v>14.5618669166167</v>
      </c>
      <c r="H8" s="21" t="n">
        <f aca="false">F8/D8-1</f>
        <v>0.583819849874896</v>
      </c>
      <c r="I8" s="22" t="n">
        <f aca="false">G8/E8-1</f>
        <v>0.214500993879623</v>
      </c>
    </row>
    <row r="9" customFormat="false" ht="15" hidden="false" customHeight="false" outlineLevel="0" collapsed="false">
      <c r="B9" s="19" t="str">
        <f aca="false">'Price Analysis'!B10</f>
        <v>HBO Max</v>
      </c>
      <c r="C9" s="43" t="n">
        <f aca="false">YEAR('Price Analysis'!D10)</f>
        <v>2020</v>
      </c>
      <c r="D9" s="34" t="n">
        <f aca="false">'Price Analysis'!E10</f>
        <v>14.99</v>
      </c>
      <c r="E9" s="34" t="n">
        <f aca="false">D9/(INDEX('CPI Deflator'!$D$6:$D$14,MATCH(C9,'CPI Deflator'!$B$6:$B$14,0))/100)</f>
        <v>14.8073243795666</v>
      </c>
      <c r="F9" s="34" t="n">
        <f aca="false">'Price Analysis'!F10</f>
        <v>18.49</v>
      </c>
      <c r="G9" s="34" t="n">
        <f aca="false">F9/('CPI Deflator'!$D$13/100)</f>
        <v>14.1784580983803</v>
      </c>
      <c r="H9" s="21" t="n">
        <f aca="false">F9/D9-1</f>
        <v>0.233488992661774</v>
      </c>
      <c r="I9" s="22" t="n">
        <f aca="false">G9/E9-1</f>
        <v>-0.0424699469712463</v>
      </c>
    </row>
    <row r="10" customFormat="false" ht="15" hidden="false" customHeight="false" outlineLevel="0" collapsed="false">
      <c r="B10" s="19" t="str">
        <f aca="false">'Price Analysis'!B11</f>
        <v>Peacock</v>
      </c>
      <c r="C10" s="43" t="n">
        <f aca="false">YEAR('Price Analysis'!D11)</f>
        <v>2020</v>
      </c>
      <c r="D10" s="34" t="n">
        <f aca="false">'Price Analysis'!E11</f>
        <v>9.99</v>
      </c>
      <c r="E10" s="34" t="n">
        <f aca="false">D10/(INDEX('CPI Deflator'!$D$6:$D$14,MATCH(C10,'CPI Deflator'!$B$6:$B$14,0))/100)</f>
        <v>9.8682568747078</v>
      </c>
      <c r="F10" s="34" t="n">
        <f aca="false">'Price Analysis'!F11</f>
        <v>16.99</v>
      </c>
      <c r="G10" s="34" t="n">
        <f aca="false">F10/('CPI Deflator'!$D$13/100)</f>
        <v>13.0282316436713</v>
      </c>
      <c r="H10" s="21" t="n">
        <f aca="false">F10/D10-1</f>
        <v>0.700700700700701</v>
      </c>
      <c r="I10" s="22" t="n">
        <f aca="false">G10/E10-1</f>
        <v>0.320216103926362</v>
      </c>
    </row>
    <row r="11" customFormat="false" ht="15" hidden="false" customHeight="false" outlineLevel="0" collapsed="false">
      <c r="B11" s="19" t="str">
        <f aca="false">'Price Analysis'!B12</f>
        <v>Paramount+</v>
      </c>
      <c r="C11" s="43" t="n">
        <f aca="false">YEAR('Price Analysis'!D12)</f>
        <v>2021</v>
      </c>
      <c r="D11" s="34" t="n">
        <f aca="false">'Price Analysis'!E12</f>
        <v>9.99</v>
      </c>
      <c r="E11" s="34" t="n">
        <f aca="false">D11/(INDEX('CPI Deflator'!$D$6:$D$14,MATCH(C11,'CPI Deflator'!$B$6:$B$14,0))/100)</f>
        <v>9.42544720817803</v>
      </c>
      <c r="F11" s="34" t="n">
        <f aca="false">'Price Analysis'!F12</f>
        <v>13.99</v>
      </c>
      <c r="G11" s="34" t="n">
        <f aca="false">F11/('CPI Deflator'!$D$13/100)</f>
        <v>10.7277787342532</v>
      </c>
      <c r="H11" s="21" t="n">
        <f aca="false">F11/D11-1</f>
        <v>0.400400400400401</v>
      </c>
      <c r="I11" s="22" t="n">
        <f aca="false">G11/E11-1</f>
        <v>0.138171855118466</v>
      </c>
    </row>
    <row r="12" customFormat="false" ht="15" hidden="false" customHeight="false" outlineLevel="0" collapsed="false">
      <c r="B12" s="19" t="str">
        <f aca="false">'Price Analysis'!B13</f>
        <v>Apple TV</v>
      </c>
      <c r="C12" s="43" t="n">
        <f aca="false">YEAR('Price Analysis'!D13)</f>
        <v>2019</v>
      </c>
      <c r="D12" s="34" t="n">
        <f aca="false">'Price Analysis'!E13</f>
        <v>4.99</v>
      </c>
      <c r="E12" s="34" t="n">
        <f aca="false">D12/(INDEX('CPI Deflator'!$D$6:$D$14,MATCH(C12,'CPI Deflator'!$B$6:$B$14,0))/100)</f>
        <v>4.99</v>
      </c>
      <c r="F12" s="34" t="n">
        <f aca="false">'Price Analysis'!F13</f>
        <v>12.99</v>
      </c>
      <c r="G12" s="34" t="n">
        <f aca="false">F12/('CPI Deflator'!$D$13/100)</f>
        <v>9.96096109778044</v>
      </c>
      <c r="H12" s="21" t="n">
        <f aca="false">F12/D12-1</f>
        <v>1.60320641282565</v>
      </c>
      <c r="I12" s="22" t="n">
        <f aca="false">G12/E12-1</f>
        <v>0.996184588733556</v>
      </c>
    </row>
    <row r="13" customFormat="false" ht="15" hidden="false" customHeight="false" outlineLevel="0" collapsed="false">
      <c r="B13" s="19" t="str">
        <f aca="false">'Price Analysis'!B14</f>
        <v>ESPN Select</v>
      </c>
      <c r="C13" s="43" t="n">
        <f aca="false">YEAR('Price Analysis'!D14)</f>
        <v>2018</v>
      </c>
      <c r="D13" s="34" t="n">
        <f aca="false">'Price Analysis'!E14</f>
        <v>4.99</v>
      </c>
      <c r="E13" s="34" t="n">
        <f aca="false">D13/(INDEX('CPI Deflator'!$D$6:$D$14,MATCH(C13,'CPI Deflator'!$B$6:$B$14,0))/100)</f>
        <v>5.08041763073112</v>
      </c>
      <c r="F13" s="34" t="n">
        <f aca="false">'Price Analysis'!F14</f>
        <v>12.99</v>
      </c>
      <c r="G13" s="34" t="n">
        <f aca="false">F13/('CPI Deflator'!$D$13/100)</f>
        <v>9.96096109778044</v>
      </c>
      <c r="H13" s="21" t="n">
        <f aca="false">F13/D13-1</f>
        <v>1.60320641282565</v>
      </c>
      <c r="I13" s="22" t="n">
        <f aca="false">G13/E13-1</f>
        <v>0.960657926530927</v>
      </c>
    </row>
    <row r="14" customFormat="false" ht="15" hidden="false" customHeight="false" outlineLevel="0" collapsed="false">
      <c r="B14" s="19" t="s">
        <v>231</v>
      </c>
      <c r="C14" s="29"/>
      <c r="D14" s="29"/>
      <c r="E14" s="29"/>
      <c r="F14" s="29"/>
      <c r="G14" s="29"/>
      <c r="H14" s="39" t="n">
        <f aca="false">AVERAGE(H6:H13)</f>
        <v>0.922554628152564</v>
      </c>
      <c r="I14" s="22" t="n">
        <f aca="false">AVERAGE(I6:I13)</f>
        <v>0.481317698336323</v>
      </c>
    </row>
    <row r="15" customFormat="false" ht="15" hidden="false" customHeight="false" outlineLevel="0" collapsed="false">
      <c r="B15" s="19" t="s">
        <v>232</v>
      </c>
      <c r="C15" s="29"/>
      <c r="D15" s="29"/>
      <c r="E15" s="29"/>
      <c r="F15" s="29"/>
      <c r="G15" s="29"/>
      <c r="H15" s="39" t="n">
        <f aca="false">MEDIAN(H6:H13)</f>
        <v>0.642260275287798</v>
      </c>
      <c r="I15" s="22" t="n">
        <f aca="false">MEDIAN(I6:I13)</f>
        <v>0.267358548902992</v>
      </c>
    </row>
    <row r="17" customFormat="false" ht="15" hidden="false" customHeight="false" outlineLevel="0" collapsed="false">
      <c r="B17" s="3" t="s">
        <v>237</v>
      </c>
    </row>
    <row r="18" customFormat="false" ht="15" hidden="false" customHeight="true" outlineLevel="0" collapsed="false">
      <c r="B18" s="7" t="s">
        <v>248</v>
      </c>
      <c r="C18" s="7"/>
      <c r="D18" s="7"/>
      <c r="E18" s="7"/>
      <c r="F18" s="7"/>
      <c r="G18" s="7"/>
      <c r="H18" s="7"/>
      <c r="I18" s="7"/>
    </row>
    <row r="19" customFormat="false" ht="15" hidden="false" customHeight="false" outlineLevel="0" collapsed="false">
      <c r="B19" s="7"/>
      <c r="C19" s="7"/>
      <c r="D19" s="7"/>
      <c r="E19" s="7"/>
      <c r="F19" s="7"/>
      <c r="G19" s="7"/>
      <c r="H19" s="7"/>
      <c r="I19" s="7"/>
    </row>
    <row r="20" customFormat="false" ht="15" hidden="false" customHeight="false" outlineLevel="0" collapsed="false">
      <c r="B20" s="7"/>
      <c r="C20" s="7"/>
      <c r="D20" s="7"/>
      <c r="E20" s="7"/>
      <c r="F20" s="7"/>
      <c r="G20" s="7"/>
      <c r="H20" s="7"/>
      <c r="I20" s="7"/>
    </row>
    <row r="21" customFormat="false" ht="15" hidden="false" customHeight="false" outlineLevel="0" collapsed="false">
      <c r="B21" s="7"/>
      <c r="C21" s="7"/>
      <c r="D21" s="7"/>
      <c r="E21" s="7"/>
      <c r="F21" s="7"/>
      <c r="G21" s="7"/>
      <c r="H21" s="7"/>
      <c r="I21" s="7"/>
    </row>
    <row r="22" customFormat="false" ht="15" hidden="false" customHeight="false" outlineLevel="0" collapsed="false">
      <c r="B22" s="7"/>
      <c r="C22" s="7"/>
      <c r="D22" s="7"/>
      <c r="E22" s="7"/>
      <c r="F22" s="7"/>
      <c r="G22" s="7"/>
      <c r="H22" s="7"/>
      <c r="I22" s="7"/>
    </row>
    <row r="53" customFormat="false" ht="15" hidden="false" customHeight="true" outlineLevel="0" collapsed="false">
      <c r="B53" s="33" t="s">
        <v>249</v>
      </c>
      <c r="C53" s="33"/>
      <c r="D53" s="33"/>
      <c r="E53" s="33"/>
      <c r="F53" s="33"/>
      <c r="G53" s="33"/>
      <c r="H53" s="33"/>
      <c r="I53" s="33"/>
    </row>
    <row r="54" customFormat="false" ht="15" hidden="false" customHeight="false" outlineLevel="0" collapsed="false">
      <c r="B54" s="33"/>
      <c r="C54" s="33"/>
      <c r="D54" s="33"/>
      <c r="E54" s="33"/>
      <c r="F54" s="33"/>
      <c r="G54" s="33"/>
      <c r="H54" s="33"/>
      <c r="I54" s="33"/>
    </row>
  </sheetData>
  <mergeCells count="4">
    <mergeCell ref="B2:I2"/>
    <mergeCell ref="B3:I3"/>
    <mergeCell ref="B18:I22"/>
    <mergeCell ref="B53:I54"/>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rowBreaks count="1" manualBreakCount="1">
    <brk id="23" man="true" max="16383" min="0"/>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14"/>
    <col collapsed="false" customWidth="true" hidden="false" outlineLevel="0" max="4" min="4" style="0" width="6"/>
    <col collapsed="false" customWidth="true" hidden="false" outlineLevel="0" max="5" min="5" style="0" width="14"/>
    <col collapsed="false" customWidth="true" hidden="false" outlineLevel="0" max="6" min="6" style="0" width="6"/>
    <col collapsed="false" customWidth="true" hidden="false" outlineLevel="0" max="7" min="7" style="0" width="10"/>
    <col collapsed="false" customWidth="true" hidden="false" outlineLevel="0" max="8" min="8" style="0" width="13"/>
    <col collapsed="false" customWidth="true" hidden="false" outlineLevel="0" max="9" min="9" style="0" width="12"/>
    <col collapsed="false" customWidth="true" hidden="false" outlineLevel="0" max="10" min="10" style="0" width="34"/>
  </cols>
  <sheetData>
    <row r="2" customFormat="false" ht="25.5" hidden="false" customHeight="true" outlineLevel="0" collapsed="false">
      <c r="B2" s="12" t="s">
        <v>250</v>
      </c>
      <c r="C2" s="12"/>
      <c r="D2" s="12"/>
      <c r="E2" s="12"/>
      <c r="F2" s="12"/>
      <c r="G2" s="12"/>
      <c r="H2" s="12"/>
      <c r="I2" s="12"/>
      <c r="J2" s="12"/>
    </row>
    <row r="3" customFormat="false" ht="31.5" hidden="false" customHeight="true" outlineLevel="0" collapsed="false">
      <c r="B3" s="13" t="s">
        <v>251</v>
      </c>
      <c r="C3" s="13"/>
      <c r="D3" s="13"/>
      <c r="E3" s="13"/>
      <c r="F3" s="13"/>
      <c r="G3" s="13"/>
      <c r="H3" s="13"/>
      <c r="I3" s="13"/>
      <c r="J3" s="13"/>
    </row>
    <row r="5" customFormat="false" ht="31.5" hidden="false" customHeight="true" outlineLevel="0" collapsed="false">
      <c r="B5" s="18" t="s">
        <v>252</v>
      </c>
      <c r="C5" s="18" t="s">
        <v>253</v>
      </c>
      <c r="D5" s="18" t="s">
        <v>254</v>
      </c>
      <c r="E5" s="18" t="s">
        <v>255</v>
      </c>
      <c r="F5" s="18" t="s">
        <v>254</v>
      </c>
      <c r="G5" s="18" t="s">
        <v>256</v>
      </c>
      <c r="H5" s="18" t="s">
        <v>257</v>
      </c>
      <c r="I5" s="18" t="s">
        <v>258</v>
      </c>
      <c r="J5" s="18" t="s">
        <v>259</v>
      </c>
    </row>
    <row r="6" customFormat="false" ht="15" hidden="false" customHeight="false" outlineLevel="0" collapsed="false">
      <c r="B6" s="44" t="n">
        <v>2019</v>
      </c>
      <c r="C6" s="34" t="n">
        <f aca="false">AVERAGE(Panel!E6:E12)</f>
        <v>9.24</v>
      </c>
      <c r="D6" s="43" t="n">
        <f aca="false">COUNT(Panel!E6:E12)</f>
        <v>4</v>
      </c>
      <c r="E6" s="34" t="n">
        <f aca="false">IFERROR(AVERAGE(Panel!E13:E19),"—")</f>
        <v>5.49</v>
      </c>
      <c r="F6" s="43" t="n">
        <f aca="false">COUNT(Panel!E13:E19)</f>
        <v>2</v>
      </c>
      <c r="G6" s="34" t="n">
        <f aca="false">IFERROR(C6-E6,"—")</f>
        <v>3.75</v>
      </c>
      <c r="H6" s="21" t="n">
        <f aca="false">IFERROR(E6/C6,"—")</f>
        <v>0.594155844155844</v>
      </c>
      <c r="I6" s="22" t="n">
        <f aca="false">IFERROR(1-E6/C6,"—")</f>
        <v>0.405844155844156</v>
      </c>
      <c r="J6" s="30" t="s">
        <v>260</v>
      </c>
    </row>
    <row r="7" customFormat="false" ht="15" hidden="false" customHeight="false" outlineLevel="0" collapsed="false">
      <c r="B7" s="44" t="n">
        <v>2020</v>
      </c>
      <c r="C7" s="34" t="n">
        <f aca="false">AVERAGE(Panel!F6:F12)</f>
        <v>10.49</v>
      </c>
      <c r="D7" s="43" t="n">
        <f aca="false">COUNT(Panel!F6:F12)</f>
        <v>6</v>
      </c>
      <c r="E7" s="34" t="n">
        <f aca="false">IFERROR(AVERAGE(Panel!F13:F19),"—")</f>
        <v>5.65666666666667</v>
      </c>
      <c r="F7" s="43" t="n">
        <f aca="false">COUNT(Panel!F13:F19)</f>
        <v>3</v>
      </c>
      <c r="G7" s="34" t="n">
        <f aca="false">IFERROR(C7-E7,"—")</f>
        <v>4.83333333333333</v>
      </c>
      <c r="H7" s="21" t="n">
        <f aca="false">IFERROR(E7/C7,"—")</f>
        <v>0.53924372418176</v>
      </c>
      <c r="I7" s="22" t="n">
        <f aca="false">IFERROR(1-E7/C7,"—")</f>
        <v>0.46075627581824</v>
      </c>
      <c r="J7" s="30" t="s">
        <v>261</v>
      </c>
    </row>
    <row r="8" customFormat="false" ht="15" hidden="false" customHeight="false" outlineLevel="0" collapsed="false">
      <c r="B8" s="44" t="n">
        <v>2021</v>
      </c>
      <c r="C8" s="34" t="n">
        <f aca="false">AVERAGE(Panel!G6:G12)</f>
        <v>10.5614285714286</v>
      </c>
      <c r="D8" s="43" t="n">
        <f aca="false">COUNT(Panel!G6:G12)</f>
        <v>7</v>
      </c>
      <c r="E8" s="34" t="n">
        <f aca="false">IFERROR(AVERAGE(Panel!G13:G19),"—")</f>
        <v>6.79</v>
      </c>
      <c r="F8" s="43" t="n">
        <f aca="false">COUNT(Panel!G13:G19)</f>
        <v>5</v>
      </c>
      <c r="G8" s="34" t="n">
        <f aca="false">IFERROR(C8-E8,"—")</f>
        <v>3.77142857142857</v>
      </c>
      <c r="H8" s="21" t="n">
        <f aca="false">IFERROR(E8/C8,"—")</f>
        <v>0.642905451102394</v>
      </c>
      <c r="I8" s="22" t="n">
        <f aca="false">IFERROR(1-E8/C8,"—")</f>
        <v>0.357094548897606</v>
      </c>
      <c r="J8" s="30" t="s">
        <v>262</v>
      </c>
    </row>
    <row r="9" customFormat="false" ht="22.35" hidden="false" customHeight="false" outlineLevel="0" collapsed="false">
      <c r="B9" s="44" t="n">
        <v>2022</v>
      </c>
      <c r="C9" s="34" t="n">
        <f aca="false">AVERAGE(Panel!H6:H12)</f>
        <v>11.9185714285714</v>
      </c>
      <c r="D9" s="43" t="n">
        <f aca="false">COUNT(Panel!H6:H12)</f>
        <v>7</v>
      </c>
      <c r="E9" s="34" t="n">
        <f aca="false">IFERROR(AVERAGE(Panel!H13:H19),"—")</f>
        <v>7.56142857142857</v>
      </c>
      <c r="F9" s="43" t="n">
        <f aca="false">COUNT(Panel!H13:H19)</f>
        <v>7</v>
      </c>
      <c r="G9" s="34" t="n">
        <f aca="false">IFERROR(C9-E9,"—")</f>
        <v>4.35714285714286</v>
      </c>
      <c r="H9" s="21" t="n">
        <f aca="false">IFERROR(E9/C9,"—")</f>
        <v>0.634424068081026</v>
      </c>
      <c r="I9" s="22" t="n">
        <f aca="false">IFERROR(1-E9/C9,"—")</f>
        <v>0.365575931918974</v>
      </c>
      <c r="J9" s="30" t="s">
        <v>263</v>
      </c>
    </row>
    <row r="10" customFormat="false" ht="15" hidden="false" customHeight="false" outlineLevel="0" collapsed="false">
      <c r="B10" s="44" t="n">
        <v>2023</v>
      </c>
      <c r="C10" s="34" t="n">
        <f aca="false">AVERAGE(Panel!I6:I12)</f>
        <v>13.9185714285714</v>
      </c>
      <c r="D10" s="43" t="n">
        <f aca="false">COUNT(Panel!I6:I12)</f>
        <v>7</v>
      </c>
      <c r="E10" s="34" t="n">
        <f aca="false">IFERROR(AVERAGE(Panel!I13:I19),"—")</f>
        <v>7.99</v>
      </c>
      <c r="F10" s="43" t="n">
        <f aca="false">COUNT(Panel!I13:I19)</f>
        <v>7</v>
      </c>
      <c r="G10" s="34" t="n">
        <f aca="false">IFERROR(C10-E10,"—")</f>
        <v>5.92857142857143</v>
      </c>
      <c r="H10" s="21" t="n">
        <f aca="false">IFERROR(E10/C10,"—")</f>
        <v>0.57405316637586</v>
      </c>
      <c r="I10" s="22" t="n">
        <f aca="false">IFERROR(1-E10/C10,"—")</f>
        <v>0.42594683362414</v>
      </c>
      <c r="J10" s="30" t="s">
        <v>264</v>
      </c>
    </row>
    <row r="11" customFormat="false" ht="15" hidden="false" customHeight="false" outlineLevel="0" collapsed="false">
      <c r="B11" s="44" t="n">
        <v>2024</v>
      </c>
      <c r="C11" s="34" t="n">
        <f aca="false">AVERAGE(Panel!J6:J12)</f>
        <v>14.9185714285714</v>
      </c>
      <c r="D11" s="43" t="n">
        <f aca="false">COUNT(Panel!J6:J12)</f>
        <v>7</v>
      </c>
      <c r="E11" s="34" t="n">
        <f aca="false">IFERROR(AVERAGE(Panel!J13:J19),"—")</f>
        <v>9.27571428571429</v>
      </c>
      <c r="F11" s="43" t="n">
        <f aca="false">COUNT(Panel!J13:J19)</f>
        <v>7</v>
      </c>
      <c r="G11" s="34" t="n">
        <f aca="false">IFERROR(C11-E11,"—")</f>
        <v>5.64285714285714</v>
      </c>
      <c r="H11" s="21" t="n">
        <f aca="false">IFERROR(E11/C11,"—")</f>
        <v>0.621756200325577</v>
      </c>
      <c r="I11" s="22" t="n">
        <f aca="false">IFERROR(1-E11/C11,"—")</f>
        <v>0.378243799674423</v>
      </c>
      <c r="J11" s="30" t="s">
        <v>265</v>
      </c>
    </row>
    <row r="12" customFormat="false" ht="15" hidden="false" customHeight="false" outlineLevel="0" collapsed="false">
      <c r="B12" s="44" t="n">
        <v>2025</v>
      </c>
      <c r="C12" s="34" t="n">
        <f aca="false">AVERAGE(Panel!K6:K12)</f>
        <v>16.7757142857143</v>
      </c>
      <c r="D12" s="43" t="n">
        <f aca="false">COUNT(Panel!K6:K12)</f>
        <v>7</v>
      </c>
      <c r="E12" s="34" t="n">
        <f aca="false">IFERROR(AVERAGE(Panel!K13:K19),"—")</f>
        <v>10.7042857142857</v>
      </c>
      <c r="F12" s="43" t="n">
        <f aca="false">COUNT(Panel!K13:K19)</f>
        <v>7</v>
      </c>
      <c r="G12" s="34" t="n">
        <f aca="false">IFERROR(C12-E12,"—")</f>
        <v>6.07142857142857</v>
      </c>
      <c r="H12" s="21" t="n">
        <f aca="false">IFERROR(E12/C12,"—")</f>
        <v>0.638082261772971</v>
      </c>
      <c r="I12" s="22" t="n">
        <f aca="false">IFERROR(1-E12/C12,"—")</f>
        <v>0.361917738227029</v>
      </c>
      <c r="J12" s="30" t="s">
        <v>266</v>
      </c>
    </row>
    <row r="13" customFormat="false" ht="22.35" hidden="false" customHeight="false" outlineLevel="0" collapsed="false">
      <c r="B13" s="44" t="n">
        <v>2026</v>
      </c>
      <c r="C13" s="34" t="n">
        <f aca="false">AVERAGE(Panel!L6:L12)</f>
        <v>17.2042857142857</v>
      </c>
      <c r="D13" s="43" t="n">
        <f aca="false">COUNT(Panel!L6:L12)</f>
        <v>7</v>
      </c>
      <c r="E13" s="34" t="n">
        <f aca="false">IFERROR(AVERAGE(Panel!L13:L19),"—")</f>
        <v>10.99</v>
      </c>
      <c r="F13" s="43" t="n">
        <f aca="false">COUNT(Panel!L13:L19)</f>
        <v>7</v>
      </c>
      <c r="G13" s="34" t="n">
        <f aca="false">IFERROR(C13-E13,"—")</f>
        <v>6.21428571428571</v>
      </c>
      <c r="H13" s="21" t="n">
        <f aca="false">IFERROR(E13/C13,"—")</f>
        <v>0.638794320352072</v>
      </c>
      <c r="I13" s="22" t="n">
        <f aca="false">IFERROR(1-E13/C13,"—")</f>
        <v>0.361205679647928</v>
      </c>
      <c r="J13" s="30" t="s">
        <v>267</v>
      </c>
    </row>
    <row r="15" customFormat="false" ht="15" hidden="false" customHeight="false" outlineLevel="0" collapsed="false">
      <c r="B15" s="3" t="s">
        <v>268</v>
      </c>
    </row>
    <row r="16" customFormat="false" ht="15" hidden="false" customHeight="true" outlineLevel="0" collapsed="false">
      <c r="B16" s="7" t="s">
        <v>269</v>
      </c>
      <c r="C16" s="7"/>
      <c r="D16" s="7"/>
      <c r="E16" s="7"/>
      <c r="F16" s="7"/>
      <c r="G16" s="7"/>
      <c r="H16" s="7"/>
      <c r="I16" s="7"/>
      <c r="J16" s="7"/>
    </row>
    <row r="17" customFormat="false" ht="15" hidden="false" customHeight="false" outlineLevel="0" collapsed="false">
      <c r="B17" s="7"/>
      <c r="C17" s="7"/>
      <c r="D17" s="7"/>
      <c r="E17" s="7"/>
      <c r="F17" s="7"/>
      <c r="G17" s="7"/>
      <c r="H17" s="7"/>
      <c r="I17" s="7"/>
      <c r="J17" s="7"/>
    </row>
    <row r="18" customFormat="false" ht="15" hidden="false" customHeight="false" outlineLevel="0" collapsed="false">
      <c r="B18" s="7"/>
      <c r="C18" s="7"/>
      <c r="D18" s="7"/>
      <c r="E18" s="7"/>
      <c r="F18" s="7"/>
      <c r="G18" s="7"/>
      <c r="H18" s="7"/>
      <c r="I18" s="7"/>
      <c r="J18" s="7"/>
    </row>
    <row r="19" customFormat="false" ht="15" hidden="false" customHeight="false" outlineLevel="0" collapsed="false">
      <c r="B19" s="7"/>
      <c r="C19" s="7"/>
      <c r="D19" s="7"/>
      <c r="E19" s="7"/>
      <c r="F19" s="7"/>
      <c r="G19" s="7"/>
      <c r="H19" s="7"/>
      <c r="I19" s="7"/>
      <c r="J19" s="7"/>
    </row>
    <row r="20" customFormat="false" ht="15" hidden="false" customHeight="false" outlineLevel="0" collapsed="false">
      <c r="B20" s="7"/>
      <c r="C20" s="7"/>
      <c r="D20" s="7"/>
      <c r="E20" s="7"/>
      <c r="F20" s="7"/>
      <c r="G20" s="7"/>
      <c r="H20" s="7"/>
      <c r="I20" s="7"/>
      <c r="J20" s="7"/>
    </row>
    <row r="53" customFormat="false" ht="15" hidden="false" customHeight="true" outlineLevel="0" collapsed="false">
      <c r="B53" s="33" t="s">
        <v>270</v>
      </c>
      <c r="C53" s="33"/>
      <c r="D53" s="33"/>
      <c r="E53" s="33"/>
      <c r="F53" s="33"/>
      <c r="G53" s="33"/>
      <c r="H53" s="33"/>
      <c r="I53" s="33"/>
      <c r="J53" s="33"/>
    </row>
    <row r="54" customFormat="false" ht="15" hidden="false" customHeight="false" outlineLevel="0" collapsed="false">
      <c r="B54" s="33"/>
      <c r="C54" s="33"/>
      <c r="D54" s="33"/>
      <c r="E54" s="33"/>
      <c r="F54" s="33"/>
      <c r="G54" s="33"/>
      <c r="H54" s="33"/>
      <c r="I54" s="33"/>
      <c r="J54" s="33"/>
    </row>
  </sheetData>
  <mergeCells count="4">
    <mergeCell ref="B2:J2"/>
    <mergeCell ref="B3:J3"/>
    <mergeCell ref="B16:J20"/>
    <mergeCell ref="B53:J54"/>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rowBreaks count="1" manualBreakCount="1">
    <brk id="23" man="true" max="16383" min="0"/>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7"/>
    <col collapsed="false" customWidth="true" hidden="false" outlineLevel="0" max="5" min="4" style="0" width="11"/>
    <col collapsed="false" customWidth="true" hidden="false" outlineLevel="0" max="6" min="6" style="0" width="12"/>
    <col collapsed="false" customWidth="true" hidden="false" outlineLevel="0" max="7" min="7" style="0" width="10"/>
    <col collapsed="false" customWidth="true" hidden="false" outlineLevel="0" max="9" min="8" style="0" width="30"/>
  </cols>
  <sheetData>
    <row r="2" customFormat="false" ht="25.5" hidden="false" customHeight="true" outlineLevel="0" collapsed="false">
      <c r="B2" s="12" t="s">
        <v>271</v>
      </c>
      <c r="C2" s="12"/>
      <c r="D2" s="12"/>
      <c r="E2" s="12"/>
      <c r="F2" s="12"/>
      <c r="G2" s="12"/>
      <c r="H2" s="12"/>
      <c r="I2" s="12"/>
    </row>
    <row r="3" customFormat="false" ht="31.5" hidden="false" customHeight="true" outlineLevel="0" collapsed="false">
      <c r="B3" s="13" t="s">
        <v>272</v>
      </c>
      <c r="C3" s="13"/>
      <c r="D3" s="13"/>
      <c r="E3" s="13"/>
      <c r="F3" s="13"/>
      <c r="G3" s="13"/>
      <c r="H3" s="13"/>
      <c r="I3" s="13"/>
    </row>
    <row r="5" customFormat="false" ht="31.5" hidden="false" customHeight="true" outlineLevel="0" collapsed="false">
      <c r="B5" s="18" t="s">
        <v>273</v>
      </c>
      <c r="C5" s="18" t="s">
        <v>274</v>
      </c>
      <c r="D5" s="18" t="s">
        <v>275</v>
      </c>
      <c r="E5" s="18" t="s">
        <v>276</v>
      </c>
      <c r="F5" s="18" t="s">
        <v>277</v>
      </c>
      <c r="G5" s="18" t="s">
        <v>278</v>
      </c>
      <c r="H5" s="18" t="s">
        <v>80</v>
      </c>
      <c r="I5" s="18" t="s">
        <v>279</v>
      </c>
    </row>
    <row r="6" customFormat="false" ht="30" hidden="false" customHeight="true" outlineLevel="0" collapsed="false">
      <c r="B6" s="19" t="s">
        <v>280</v>
      </c>
      <c r="C6" s="26" t="s">
        <v>281</v>
      </c>
      <c r="D6" s="27" t="n">
        <v>46232</v>
      </c>
      <c r="E6" s="28" t="n">
        <v>19.99</v>
      </c>
      <c r="F6" s="34" t="n">
        <f aca="false">INDEX('Price History'!$E$6:$E$72,SUMPRODUCT(MAX(('Price History'!$B$6:$B$72="Disney+")*('Price History'!$C$6:$C$72="Basic w/ ads")*('Price History'!$D$6:$D$72&lt;=DATE(2026,7,29))*ROW('Price History'!$E$6:$E$72)))-5)+INDEX('Price History'!$E$6:$E$72,SUMPRODUCT(MAX(('Price History'!$B$6:$B$72="Hulu")*('Price History'!$C$6:$C$72="With ads")*('Price History'!$D$6:$D$72&lt;=DATE(2026,7,29))*ROW('Price History'!$E$6:$E$72)))-5)+INDEX('Price History'!$E$6:$E$72,SUMPRODUCT(MAX(('Price History'!$B$6:$B$72="HBO Max")*('Price History'!$C$6:$C$72="Basic w/ ads")*('Price History'!$D$6:$D$72&lt;=DATE(2026,7,29))*ROW('Price History'!$E$6:$E$72)))-5)</f>
        <v>34.97</v>
      </c>
      <c r="G6" s="22" t="n">
        <f aca="false">1-E6/F6</f>
        <v>0.428367171861596</v>
      </c>
      <c r="H6" s="30" t="s">
        <v>282</v>
      </c>
      <c r="I6" s="30" t="s">
        <v>283</v>
      </c>
    </row>
    <row r="7" customFormat="false" ht="30" hidden="false" customHeight="true" outlineLevel="0" collapsed="false">
      <c r="B7" s="19" t="s">
        <v>284</v>
      </c>
      <c r="C7" s="26" t="s">
        <v>281</v>
      </c>
      <c r="D7" s="27" t="n">
        <v>45951</v>
      </c>
      <c r="E7" s="28" t="n">
        <v>14.99</v>
      </c>
      <c r="F7" s="34" t="n">
        <f aca="false">INDEX('Price History'!$E$6:$E$72,SUMPRODUCT(MAX(('Price History'!$B$6:$B$72="Apple TV")*('Price History'!$C$6:$C$72="Standard (no ads)")*('Price History'!$D$6:$D$72&lt;=DATE(2025,10,21))*ROW('Price History'!$E$6:$E$72)))-5)+INDEX('Price History'!$E$6:$E$72,SUMPRODUCT(MAX(('Price History'!$B$6:$B$72="Peacock")*('Price History'!$C$6:$C$72="Premium w/ ads")*('Price History'!$D$6:$D$72&lt;=DATE(2025,10,21))*ROW('Price History'!$E$6:$E$72)))-5)</f>
        <v>23.98</v>
      </c>
      <c r="G7" s="22" t="n">
        <f aca="false">1-E7/F7</f>
        <v>0.37489574645538</v>
      </c>
      <c r="H7" s="30" t="s">
        <v>285</v>
      </c>
      <c r="I7" s="30" t="s">
        <v>286</v>
      </c>
    </row>
    <row r="8" customFormat="false" ht="30" hidden="false" customHeight="true" outlineLevel="0" collapsed="false">
      <c r="B8" s="19" t="s">
        <v>287</v>
      </c>
      <c r="C8" s="26" t="s">
        <v>288</v>
      </c>
      <c r="D8" s="27" t="n">
        <v>45413</v>
      </c>
      <c r="E8" s="28" t="n">
        <v>15</v>
      </c>
      <c r="F8" s="34" t="n">
        <f aca="false">INDEX('Price History'!$E$6:$E$72,SUMPRODUCT(MAX(('Price History'!$B$6:$B$72="Netflix")*('Price History'!$C$6:$C$72="Standard w/ ads")*('Price History'!$D$6:$D$72&lt;=DATE(2024,5,1))*ROW('Price History'!$E$6:$E$72)))-5)+INDEX('Price History'!$E$6:$E$72,SUMPRODUCT(MAX(('Price History'!$B$6:$B$72="Apple TV")*('Price History'!$C$6:$C$72="Standard (no ads)")*('Price History'!$D$6:$D$72&lt;=DATE(2024,5,1))*ROW('Price History'!$E$6:$E$72)))-5)+INDEX('Price History'!$E$6:$E$72,SUMPRODUCT(MAX(('Price History'!$B$6:$B$72="Peacock")*('Price History'!$C$6:$C$72="Premium w/ ads")*('Price History'!$D$6:$D$72&lt;=DATE(2024,5,1))*ROW('Price History'!$E$6:$E$72)))-5)</f>
        <v>22.97</v>
      </c>
      <c r="G8" s="22" t="n">
        <f aca="false">1-E8/F8</f>
        <v>0.34697431432303</v>
      </c>
      <c r="H8" s="30" t="s">
        <v>289</v>
      </c>
      <c r="I8" s="30" t="s">
        <v>290</v>
      </c>
    </row>
    <row r="9" customFormat="false" ht="30" hidden="false" customHeight="true" outlineLevel="0" collapsed="false">
      <c r="B9" s="19" t="s">
        <v>291</v>
      </c>
      <c r="C9" s="26" t="s">
        <v>292</v>
      </c>
      <c r="D9" s="27" t="n">
        <v>45261</v>
      </c>
      <c r="E9" s="28" t="n">
        <v>10</v>
      </c>
      <c r="F9" s="34" t="n">
        <f aca="false">INDEX('Price History'!$E$6:$E$72,SUMPRODUCT(MAX(('Price History'!$B$6:$B$72="Netflix")*('Price History'!$C$6:$C$72="Standard w/ ads")*('Price History'!$D$6:$D$72&lt;=DATE(2023,12,1))*ROW('Price History'!$E$6:$E$72)))-5)+INDEX('Price History'!$E$6:$E$72,SUMPRODUCT(MAX(('Price History'!$B$6:$B$72="HBO Max")*('Price History'!$C$6:$C$72="Basic w/ ads")*('Price History'!$D$6:$D$72&lt;=DATE(2023,12,1))*ROW('Price History'!$E$6:$E$72)))-5)</f>
        <v>16.98</v>
      </c>
      <c r="G9" s="22" t="n">
        <f aca="false">1-E9/F9</f>
        <v>0.411071849234393</v>
      </c>
      <c r="H9" s="30" t="s">
        <v>293</v>
      </c>
      <c r="I9" s="30" t="s">
        <v>294</v>
      </c>
    </row>
    <row r="10" customFormat="false" ht="30" hidden="false" customHeight="true" outlineLevel="0" collapsed="false">
      <c r="B10" s="19" t="s">
        <v>295</v>
      </c>
      <c r="C10" s="26" t="s">
        <v>292</v>
      </c>
      <c r="D10" s="27" t="n">
        <v>45261</v>
      </c>
      <c r="E10" s="28" t="n">
        <v>10</v>
      </c>
      <c r="F10" s="34" t="n">
        <f aca="false">INDEX('Price History'!$E$6:$E$72,SUMPRODUCT(MAX(('Price History'!$B$6:$B$72="Disney+")*('Price History'!$C$6:$C$72="Basic w/ ads")*('Price History'!$D$6:$D$72&lt;=DATE(2023,12,1))*ROW('Price History'!$E$6:$E$72)))-5)+INDEX('Price History'!$E$6:$E$72,SUMPRODUCT(MAX(('Price History'!$B$6:$B$72="Hulu")*('Price History'!$C$6:$C$72="With ads")*('Price History'!$D$6:$D$72&lt;=DATE(2023,12,1))*ROW('Price History'!$E$6:$E$72)))-5)+INDEX('Price History'!$E$6:$E$72,SUMPRODUCT(MAX(('Price History'!$B$6:$B$72="ESPN Select")*('Price History'!$C$6:$C$72="Standard w/ ads")*('Price History'!$D$6:$D$72&lt;=DATE(2023,12,1))*ROW('Price History'!$E$6:$E$72)))-5)</f>
        <v>26.97</v>
      </c>
      <c r="G10" s="22" t="n">
        <f aca="false">1-E10/F10</f>
        <v>0.629217649239896</v>
      </c>
      <c r="H10" s="30" t="s">
        <v>293</v>
      </c>
      <c r="I10" s="30" t="s">
        <v>294</v>
      </c>
    </row>
    <row r="11" customFormat="false" ht="15" hidden="false" customHeight="false" outlineLevel="0" collapsed="false">
      <c r="B11" s="19" t="s">
        <v>296</v>
      </c>
      <c r="C11" s="29"/>
      <c r="D11" s="29"/>
      <c r="E11" s="29"/>
      <c r="F11" s="29"/>
      <c r="G11" s="22" t="n">
        <f aca="false">MEDIAN(G6:G10)</f>
        <v>0.411071849234393</v>
      </c>
      <c r="H11" s="29"/>
      <c r="I11" s="29"/>
    </row>
    <row r="12" customFormat="false" ht="15" hidden="false" customHeight="false" outlineLevel="0" collapsed="false">
      <c r="B12" s="19" t="s">
        <v>297</v>
      </c>
      <c r="C12" s="29"/>
      <c r="D12" s="29"/>
      <c r="E12" s="29"/>
      <c r="F12" s="29"/>
      <c r="G12" s="45" t="str">
        <f aca="false">TEXT(MIN(G6:G10),"0.0%")&amp;" – "&amp;TEXT(MAX(G6:G10),"0.0%")</f>
        <v>34.7% – 62.9%</v>
      </c>
      <c r="H12" s="29"/>
      <c r="I12" s="29"/>
    </row>
    <row r="13" customFormat="false" ht="15" hidden="false" customHeight="false" outlineLevel="0" collapsed="false">
      <c r="B13" s="19" t="s">
        <v>298</v>
      </c>
      <c r="C13" s="29"/>
      <c r="D13" s="29"/>
      <c r="E13" s="29"/>
      <c r="F13" s="29"/>
      <c r="G13" s="22" t="n">
        <f aca="false">AVERAGE(G9:G10)</f>
        <v>0.520144749237145</v>
      </c>
      <c r="H13" s="29"/>
      <c r="I13" s="29"/>
    </row>
    <row r="14" customFormat="false" ht="15" hidden="false" customHeight="false" outlineLevel="0" collapsed="false">
      <c r="B14" s="19" t="s">
        <v>299</v>
      </c>
      <c r="C14" s="29"/>
      <c r="D14" s="29"/>
      <c r="E14" s="29"/>
      <c r="F14" s="29"/>
      <c r="G14" s="22" t="n">
        <f aca="false">AVERAGE(G6:G8)</f>
        <v>0.383412410880002</v>
      </c>
      <c r="H14" s="29"/>
      <c r="I14" s="29"/>
    </row>
    <row r="16" customFormat="false" ht="15" hidden="false" customHeight="false" outlineLevel="0" collapsed="false">
      <c r="B16" s="3" t="s">
        <v>237</v>
      </c>
    </row>
    <row r="17" customFormat="false" ht="15" hidden="false" customHeight="true" outlineLevel="0" collapsed="false">
      <c r="B17" s="7" t="s">
        <v>300</v>
      </c>
      <c r="C17" s="7"/>
      <c r="D17" s="7"/>
      <c r="E17" s="7"/>
      <c r="F17" s="7"/>
      <c r="G17" s="7"/>
      <c r="H17" s="7"/>
      <c r="I17" s="7"/>
    </row>
    <row r="18" customFormat="false" ht="15" hidden="false" customHeight="false" outlineLevel="0" collapsed="false">
      <c r="B18" s="7"/>
      <c r="C18" s="7"/>
      <c r="D18" s="7"/>
      <c r="E18" s="7"/>
      <c r="F18" s="7"/>
      <c r="G18" s="7"/>
      <c r="H18" s="7"/>
      <c r="I18" s="7"/>
    </row>
    <row r="19" customFormat="false" ht="15" hidden="false" customHeight="false" outlineLevel="0" collapsed="false">
      <c r="B19" s="7"/>
      <c r="C19" s="7"/>
      <c r="D19" s="7"/>
      <c r="E19" s="7"/>
      <c r="F19" s="7"/>
      <c r="G19" s="7"/>
      <c r="H19" s="7"/>
      <c r="I19" s="7"/>
    </row>
    <row r="20" customFormat="false" ht="15" hidden="false" customHeight="false" outlineLevel="0" collapsed="false">
      <c r="B20" s="7"/>
      <c r="C20" s="7"/>
      <c r="D20" s="7"/>
      <c r="E20" s="7"/>
      <c r="F20" s="7"/>
      <c r="G20" s="7"/>
      <c r="H20" s="7"/>
      <c r="I20" s="7"/>
    </row>
    <row r="21" customFormat="false" ht="15" hidden="false" customHeight="false" outlineLevel="0" collapsed="false">
      <c r="B21" s="7"/>
      <c r="C21" s="7"/>
      <c r="D21" s="7"/>
      <c r="E21" s="7"/>
      <c r="F21" s="7"/>
      <c r="G21" s="7"/>
      <c r="H21" s="7"/>
      <c r="I21" s="7"/>
    </row>
    <row r="51" customFormat="false" ht="15" hidden="false" customHeight="true" outlineLevel="0" collapsed="false">
      <c r="B51" s="33" t="s">
        <v>301</v>
      </c>
      <c r="C51" s="33"/>
      <c r="D51" s="33"/>
      <c r="E51" s="33"/>
      <c r="F51" s="33"/>
      <c r="G51" s="33"/>
      <c r="H51" s="33"/>
      <c r="I51" s="33"/>
    </row>
    <row r="52" customFormat="false" ht="15" hidden="false" customHeight="false" outlineLevel="0" collapsed="false">
      <c r="B52" s="33"/>
      <c r="C52" s="33"/>
      <c r="D52" s="33"/>
      <c r="E52" s="33"/>
      <c r="F52" s="33"/>
      <c r="G52" s="33"/>
      <c r="H52" s="33"/>
      <c r="I52" s="33"/>
    </row>
  </sheetData>
  <mergeCells count="4">
    <mergeCell ref="B2:I2"/>
    <mergeCell ref="B3:I3"/>
    <mergeCell ref="B17:I21"/>
    <mergeCell ref="B51:I52"/>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rowBreaks count="1" manualBreakCount="1">
    <brk id="24" man="true" max="16383" min="0"/>
  </rowBreak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14"/>
    <col collapsed="false" customWidth="true" hidden="false" outlineLevel="0" max="4" min="4" style="0" width="13"/>
    <col collapsed="false" customWidth="true" hidden="false" outlineLevel="0" max="5" min="5" style="0" width="14"/>
    <col collapsed="false" customWidth="true" hidden="false" outlineLevel="0" max="6" min="6" style="0" width="52"/>
  </cols>
  <sheetData>
    <row r="2" customFormat="false" ht="25.5" hidden="false" customHeight="true" outlineLevel="0" collapsed="false">
      <c r="B2" s="12" t="s">
        <v>302</v>
      </c>
      <c r="C2" s="12"/>
      <c r="D2" s="12"/>
      <c r="E2" s="12"/>
      <c r="F2" s="12"/>
    </row>
    <row r="3" customFormat="false" ht="31.5" hidden="false" customHeight="true" outlineLevel="0" collapsed="false">
      <c r="B3" s="13" t="s">
        <v>303</v>
      </c>
      <c r="C3" s="13"/>
      <c r="D3" s="13"/>
      <c r="E3" s="13"/>
      <c r="F3" s="13"/>
    </row>
    <row r="5" customFormat="false" ht="31.5" hidden="false" customHeight="true" outlineLevel="0" collapsed="false">
      <c r="B5" s="18" t="s">
        <v>252</v>
      </c>
      <c r="C5" s="18" t="s">
        <v>304</v>
      </c>
      <c r="D5" s="18" t="s">
        <v>305</v>
      </c>
      <c r="E5" s="18" t="s">
        <v>306</v>
      </c>
      <c r="F5" s="18" t="s">
        <v>307</v>
      </c>
    </row>
    <row r="6" customFormat="false" ht="27.75" hidden="false" customHeight="true" outlineLevel="0" collapsed="false">
      <c r="B6" s="44" t="n">
        <v>2020</v>
      </c>
      <c r="C6" s="43" t="n">
        <f aca="false">COUNTIFS('Price History'!$F$6:$F$72,"Change",'Price History'!$D$6:$D$72,"&gt;="&amp;DATE(2020,1,1),'Price History'!$D$6:$D$72,"&lt;="&amp;DATE(2020,12,31))</f>
        <v>3</v>
      </c>
      <c r="D6" s="43" t="n">
        <f aca="false">COUNT(Panel!F6:F19)</f>
        <v>9</v>
      </c>
      <c r="E6" s="46" t="n">
        <f aca="false">IFERROR(C6/D6,"—")</f>
        <v>0.333333333333333</v>
      </c>
      <c r="F6" s="30" t="s">
        <v>308</v>
      </c>
    </row>
    <row r="7" customFormat="false" ht="27.75" hidden="false" customHeight="true" outlineLevel="0" collapsed="false">
      <c r="B7" s="44" t="n">
        <v>2021</v>
      </c>
      <c r="C7" s="43" t="n">
        <f aca="false">COUNTIFS('Price History'!$F$6:$F$72,"Change",'Price History'!$D$6:$D$72,"&gt;="&amp;DATE(2021,1,1),'Price History'!$D$6:$D$72,"&lt;="&amp;DATE(2021,12,31))</f>
        <v>3</v>
      </c>
      <c r="D7" s="43" t="n">
        <f aca="false">COUNT(Panel!G6:G19)</f>
        <v>12</v>
      </c>
      <c r="E7" s="46" t="n">
        <f aca="false">IFERROR(C7/D7,"—")</f>
        <v>0.25</v>
      </c>
      <c r="F7" s="30" t="s">
        <v>309</v>
      </c>
    </row>
    <row r="8" customFormat="false" ht="27.75" hidden="false" customHeight="true" outlineLevel="0" collapsed="false">
      <c r="B8" s="44" t="n">
        <v>2022</v>
      </c>
      <c r="C8" s="43" t="n">
        <f aca="false">COUNTIFS('Price History'!$F$6:$F$72,"Change",'Price History'!$D$6:$D$72,"&gt;="&amp;DATE(2022,1,1),'Price History'!$D$6:$D$72,"&lt;="&amp;DATE(2022,12,31))</f>
        <v>7</v>
      </c>
      <c r="D8" s="43" t="n">
        <f aca="false">COUNT(Panel!H6:H19)</f>
        <v>14</v>
      </c>
      <c r="E8" s="46" t="n">
        <f aca="false">IFERROR(C8/D8,"—")</f>
        <v>0.5</v>
      </c>
      <c r="F8" s="30" t="s">
        <v>310</v>
      </c>
    </row>
    <row r="9" customFormat="false" ht="27.75" hidden="false" customHeight="true" outlineLevel="0" collapsed="false">
      <c r="B9" s="44" t="n">
        <v>2023</v>
      </c>
      <c r="C9" s="43" t="n">
        <f aca="false">COUNTIFS('Price History'!$F$6:$F$72,"Change",'Price History'!$D$6:$D$72,"&gt;="&amp;DATE(2023,1,1),'Price History'!$D$6:$D$72,"&lt;="&amp;DATE(2023,12,31))</f>
        <v>10</v>
      </c>
      <c r="D9" s="43" t="n">
        <f aca="false">COUNT(Panel!I6:I19)</f>
        <v>14</v>
      </c>
      <c r="E9" s="46" t="n">
        <f aca="false">IFERROR(C9/D9,"—")</f>
        <v>0.714285714285714</v>
      </c>
      <c r="F9" s="30" t="s">
        <v>311</v>
      </c>
    </row>
    <row r="10" customFormat="false" ht="27.75" hidden="false" customHeight="true" outlineLevel="0" collapsed="false">
      <c r="B10" s="44" t="n">
        <v>2024</v>
      </c>
      <c r="C10" s="43" t="n">
        <f aca="false">COUNTIFS('Price History'!$F$6:$F$72,"Change",'Price History'!$D$6:$D$72,"&gt;="&amp;DATE(2024,1,1),'Price History'!$D$6:$D$72,"&lt;="&amp;DATE(2024,12,31))</f>
        <v>10</v>
      </c>
      <c r="D10" s="43" t="n">
        <f aca="false">COUNT(Panel!J6:J19)</f>
        <v>14</v>
      </c>
      <c r="E10" s="46" t="n">
        <f aca="false">IFERROR(C10/D10,"—")</f>
        <v>0.714285714285714</v>
      </c>
      <c r="F10" s="30" t="s">
        <v>312</v>
      </c>
    </row>
    <row r="11" customFormat="false" ht="27.75" hidden="false" customHeight="true" outlineLevel="0" collapsed="false">
      <c r="B11" s="44" t="n">
        <v>2025</v>
      </c>
      <c r="C11" s="43" t="n">
        <f aca="false">COUNTIFS('Price History'!$F$6:$F$72,"Change",'Price History'!$D$6:$D$72,"&gt;="&amp;DATE(2025,1,1),'Price History'!$D$6:$D$72,"&lt;="&amp;DATE(2025,12,31))</f>
        <v>12</v>
      </c>
      <c r="D11" s="43" t="n">
        <f aca="false">COUNT(Panel!K6:K19)</f>
        <v>14</v>
      </c>
      <c r="E11" s="46" t="n">
        <f aca="false">IFERROR(C11/D11,"—")</f>
        <v>0.857142857142857</v>
      </c>
      <c r="F11" s="30" t="s">
        <v>313</v>
      </c>
    </row>
    <row r="12" customFormat="false" ht="27.75" hidden="false" customHeight="true" outlineLevel="0" collapsed="false">
      <c r="B12" s="44" t="n">
        <v>2026</v>
      </c>
      <c r="C12" s="43" t="n">
        <f aca="false">COUNTIFS('Price History'!$F$6:$F$72,"Change",'Price History'!$D$6:$D$72,"&gt;="&amp;DATE(2026,1,1),'Price History'!$D$6:$D$72,"&lt;="&amp;DATE(2026,12,31))</f>
        <v>5</v>
      </c>
      <c r="D12" s="43" t="n">
        <f aca="false">COUNT(Panel!L6:L19)</f>
        <v>14</v>
      </c>
      <c r="E12" s="46" t="n">
        <f aca="false">IFERROR(C12/D12,"—")</f>
        <v>0.357142857142857</v>
      </c>
      <c r="F12" s="30" t="s">
        <v>314</v>
      </c>
    </row>
    <row r="13" customFormat="false" ht="15" hidden="false" customHeight="false" outlineLevel="0" collapsed="false">
      <c r="B13" s="19" t="s">
        <v>315</v>
      </c>
      <c r="C13" s="44" t="n">
        <f aca="false">SUM(C6:C12)</f>
        <v>50</v>
      </c>
      <c r="D13" s="29"/>
      <c r="E13" s="29"/>
      <c r="F13" s="29"/>
    </row>
    <row r="15" customFormat="false" ht="15" hidden="false" customHeight="true" outlineLevel="0" collapsed="false">
      <c r="B15" s="33" t="s">
        <v>316</v>
      </c>
      <c r="C15" s="33"/>
      <c r="D15" s="33"/>
      <c r="E15" s="33"/>
      <c r="F15" s="33"/>
    </row>
    <row r="16" customFormat="false" ht="15" hidden="false" customHeight="false" outlineLevel="0" collapsed="false">
      <c r="B16" s="33"/>
      <c r="C16" s="33"/>
      <c r="D16" s="33"/>
      <c r="E16" s="33"/>
      <c r="F16" s="33"/>
    </row>
    <row r="17" customFormat="false" ht="15" hidden="false" customHeight="false" outlineLevel="0" collapsed="false">
      <c r="B17" s="33"/>
      <c r="C17" s="33"/>
      <c r="D17" s="33"/>
      <c r="E17" s="33"/>
      <c r="F17" s="33"/>
    </row>
    <row r="49" customFormat="false" ht="15" hidden="false" customHeight="true" outlineLevel="0" collapsed="false">
      <c r="B49" s="33" t="s">
        <v>317</v>
      </c>
      <c r="C49" s="33"/>
      <c r="D49" s="33"/>
      <c r="E49" s="33"/>
      <c r="F49" s="33"/>
    </row>
    <row r="50" customFormat="false" ht="15" hidden="false" customHeight="false" outlineLevel="0" collapsed="false">
      <c r="B50" s="33"/>
      <c r="C50" s="33"/>
      <c r="D50" s="33"/>
      <c r="E50" s="33"/>
      <c r="F50" s="33"/>
    </row>
  </sheetData>
  <mergeCells count="4">
    <mergeCell ref="B2:F2"/>
    <mergeCell ref="B3:F3"/>
    <mergeCell ref="B15:F17"/>
    <mergeCell ref="B49:F50"/>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rowBreaks count="1" manualBreakCount="1">
    <brk id="22" man="true" max="16383" min="0"/>
  </rowBreak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13"/>
    <col collapsed="false" customWidth="true" hidden="false" outlineLevel="0" max="5" min="4" style="0" width="11"/>
    <col collapsed="false" customWidth="true" hidden="false" outlineLevel="0" max="6" min="6" style="0" width="22"/>
    <col collapsed="false" customWidth="true" hidden="false" outlineLevel="0" max="7" min="7" style="0" width="13"/>
    <col collapsed="false" customWidth="true" hidden="false" outlineLevel="0" max="8" min="8" style="0" width="38"/>
  </cols>
  <sheetData>
    <row r="2" customFormat="false" ht="25.5" hidden="false" customHeight="true" outlineLevel="0" collapsed="false">
      <c r="B2" s="12" t="s">
        <v>318</v>
      </c>
      <c r="C2" s="12"/>
      <c r="D2" s="12"/>
      <c r="E2" s="12"/>
      <c r="F2" s="12"/>
      <c r="G2" s="12"/>
      <c r="H2" s="12"/>
    </row>
    <row r="3" customFormat="false" ht="31.5" hidden="false" customHeight="true" outlineLevel="0" collapsed="false">
      <c r="B3" s="13" t="s">
        <v>319</v>
      </c>
      <c r="C3" s="13"/>
      <c r="D3" s="13"/>
      <c r="E3" s="13"/>
      <c r="F3" s="13"/>
      <c r="G3" s="13"/>
      <c r="H3" s="13"/>
    </row>
    <row r="5" customFormat="false" ht="31.5" hidden="false" customHeight="true" outlineLevel="0" collapsed="false">
      <c r="B5" s="18" t="s">
        <v>46</v>
      </c>
      <c r="C5" s="18" t="s">
        <v>320</v>
      </c>
      <c r="D5" s="18" t="s">
        <v>321</v>
      </c>
      <c r="E5" s="18" t="s">
        <v>322</v>
      </c>
      <c r="F5" s="18" t="s">
        <v>323</v>
      </c>
      <c r="G5" s="18" t="s">
        <v>324</v>
      </c>
      <c r="H5" s="18" t="s">
        <v>259</v>
      </c>
    </row>
    <row r="6" customFormat="false" ht="15" hidden="false" customHeight="false" outlineLevel="0" collapsed="false">
      <c r="B6" s="19" t="s">
        <v>150</v>
      </c>
      <c r="C6" s="29" t="s">
        <v>325</v>
      </c>
      <c r="D6" s="47" t="n">
        <v>247.15</v>
      </c>
      <c r="E6" s="48" t="s">
        <v>326</v>
      </c>
      <c r="F6" s="26" t="s">
        <v>327</v>
      </c>
      <c r="G6" s="29" t="s">
        <v>328</v>
      </c>
      <c r="H6" s="30" t="s">
        <v>329</v>
      </c>
    </row>
    <row r="7" customFormat="false" ht="15" hidden="false" customHeight="false" outlineLevel="0" collapsed="false">
      <c r="B7" s="19" t="s">
        <v>150</v>
      </c>
      <c r="C7" s="29" t="s">
        <v>330</v>
      </c>
      <c r="D7" s="47" t="n">
        <v>301.6</v>
      </c>
      <c r="E7" s="28" t="n">
        <v>17.26</v>
      </c>
      <c r="F7" s="26" t="s">
        <v>331</v>
      </c>
      <c r="G7" s="29" t="s">
        <v>328</v>
      </c>
      <c r="H7" s="30" t="s">
        <v>332</v>
      </c>
    </row>
    <row r="8" customFormat="false" ht="15" hidden="false" customHeight="false" outlineLevel="0" collapsed="false">
      <c r="B8" s="19" t="s">
        <v>150</v>
      </c>
      <c r="C8" s="29" t="s">
        <v>333</v>
      </c>
      <c r="D8" s="48" t="s">
        <v>326</v>
      </c>
      <c r="E8" s="48" t="s">
        <v>326</v>
      </c>
      <c r="F8" s="26" t="s">
        <v>334</v>
      </c>
      <c r="G8" s="32" t="s">
        <v>335</v>
      </c>
      <c r="H8" s="30" t="s">
        <v>336</v>
      </c>
    </row>
    <row r="9" customFormat="false" ht="15" hidden="false" customHeight="false" outlineLevel="0" collapsed="false">
      <c r="B9" s="19" t="s">
        <v>98</v>
      </c>
      <c r="C9" s="29" t="s">
        <v>337</v>
      </c>
      <c r="D9" s="47" t="n">
        <v>117.6</v>
      </c>
      <c r="E9" s="28" t="n">
        <v>7.28</v>
      </c>
      <c r="F9" s="26" t="s">
        <v>338</v>
      </c>
      <c r="G9" s="29" t="s">
        <v>328</v>
      </c>
      <c r="H9" s="30"/>
    </row>
    <row r="10" customFormat="false" ht="15" hidden="false" customHeight="false" outlineLevel="0" collapsed="false">
      <c r="B10" s="19" t="s">
        <v>98</v>
      </c>
      <c r="C10" s="29" t="s">
        <v>339</v>
      </c>
      <c r="D10" s="48" t="s">
        <v>326</v>
      </c>
      <c r="E10" s="28" t="n">
        <v>8.09</v>
      </c>
      <c r="F10" s="26" t="s">
        <v>340</v>
      </c>
      <c r="G10" s="29" t="s">
        <v>328</v>
      </c>
      <c r="H10" s="30" t="s">
        <v>341</v>
      </c>
    </row>
    <row r="11" customFormat="false" ht="15" hidden="false" customHeight="false" outlineLevel="0" collapsed="false">
      <c r="B11" s="19" t="s">
        <v>98</v>
      </c>
      <c r="C11" s="29" t="s">
        <v>333</v>
      </c>
      <c r="D11" s="48" t="s">
        <v>326</v>
      </c>
      <c r="E11" s="28" t="n">
        <v>7.99</v>
      </c>
      <c r="F11" s="26" t="s">
        <v>340</v>
      </c>
      <c r="G11" s="29" t="s">
        <v>328</v>
      </c>
      <c r="H11" s="30" t="s">
        <v>342</v>
      </c>
    </row>
    <row r="12" customFormat="false" ht="15" hidden="false" customHeight="false" outlineLevel="0" collapsed="false">
      <c r="B12" s="19" t="s">
        <v>129</v>
      </c>
      <c r="C12" s="29" t="s">
        <v>343</v>
      </c>
      <c r="D12" s="47" t="n">
        <v>97.7</v>
      </c>
      <c r="E12" s="48" t="s">
        <v>326</v>
      </c>
      <c r="F12" s="26" t="s">
        <v>327</v>
      </c>
      <c r="G12" s="29" t="s">
        <v>328</v>
      </c>
      <c r="H12" s="30" t="s">
        <v>344</v>
      </c>
    </row>
    <row r="13" customFormat="false" ht="15" hidden="false" customHeight="false" outlineLevel="0" collapsed="false">
      <c r="B13" s="19" t="s">
        <v>129</v>
      </c>
      <c r="C13" s="29" t="s">
        <v>337</v>
      </c>
      <c r="D13" s="47" t="n">
        <v>99.6</v>
      </c>
      <c r="E13" s="48" t="s">
        <v>326</v>
      </c>
      <c r="F13" s="26" t="s">
        <v>327</v>
      </c>
      <c r="G13" s="29" t="s">
        <v>328</v>
      </c>
      <c r="H13" s="30"/>
    </row>
    <row r="14" customFormat="false" ht="15" hidden="false" customHeight="false" outlineLevel="0" collapsed="false">
      <c r="B14" s="19" t="s">
        <v>129</v>
      </c>
      <c r="C14" s="29" t="s">
        <v>330</v>
      </c>
      <c r="D14" s="48" t="s">
        <v>326</v>
      </c>
      <c r="E14" s="28" t="n">
        <v>11.77</v>
      </c>
      <c r="F14" s="26" t="s">
        <v>345</v>
      </c>
      <c r="G14" s="29" t="s">
        <v>328</v>
      </c>
      <c r="H14" s="30"/>
    </row>
    <row r="15" customFormat="false" ht="15" hidden="false" customHeight="false" outlineLevel="0" collapsed="false">
      <c r="B15" s="19" t="s">
        <v>190</v>
      </c>
      <c r="C15" s="29" t="s">
        <v>346</v>
      </c>
      <c r="D15" s="47" t="n">
        <v>22</v>
      </c>
      <c r="E15" s="48" t="s">
        <v>326</v>
      </c>
      <c r="F15" s="26" t="s">
        <v>347</v>
      </c>
      <c r="G15" s="29" t="s">
        <v>328</v>
      </c>
      <c r="H15" s="30" t="s">
        <v>348</v>
      </c>
    </row>
    <row r="16" customFormat="false" ht="15" hidden="false" customHeight="false" outlineLevel="0" collapsed="false">
      <c r="B16" s="19" t="s">
        <v>190</v>
      </c>
      <c r="C16" s="29" t="s">
        <v>343</v>
      </c>
      <c r="D16" s="47" t="n">
        <v>31</v>
      </c>
      <c r="E16" s="28" t="n">
        <v>10</v>
      </c>
      <c r="F16" s="26" t="s">
        <v>349</v>
      </c>
      <c r="G16" s="29" t="s">
        <v>328</v>
      </c>
      <c r="H16" s="30"/>
    </row>
    <row r="17" customFormat="false" ht="15" hidden="false" customHeight="false" outlineLevel="0" collapsed="false">
      <c r="B17" s="19" t="s">
        <v>190</v>
      </c>
      <c r="C17" s="29" t="s">
        <v>333</v>
      </c>
      <c r="D17" s="47" t="n">
        <v>41</v>
      </c>
      <c r="E17" s="48" t="s">
        <v>326</v>
      </c>
      <c r="F17" s="26" t="s">
        <v>347</v>
      </c>
      <c r="G17" s="29" t="s">
        <v>328</v>
      </c>
      <c r="H17" s="30" t="s">
        <v>350</v>
      </c>
    </row>
    <row r="18" customFormat="false" ht="15" hidden="false" customHeight="false" outlineLevel="0" collapsed="false">
      <c r="B18" s="19" t="s">
        <v>175</v>
      </c>
      <c r="C18" s="29" t="s">
        <v>343</v>
      </c>
      <c r="D18" s="47" t="n">
        <v>67.5</v>
      </c>
      <c r="E18" s="48" t="s">
        <v>326</v>
      </c>
      <c r="F18" s="26" t="s">
        <v>351</v>
      </c>
      <c r="G18" s="29" t="s">
        <v>328</v>
      </c>
      <c r="H18" s="30" t="s">
        <v>352</v>
      </c>
    </row>
    <row r="19" customFormat="false" ht="15" hidden="false" customHeight="false" outlineLevel="0" collapsed="false">
      <c r="B19" s="19" t="s">
        <v>175</v>
      </c>
      <c r="C19" s="29" t="s">
        <v>333</v>
      </c>
      <c r="D19" s="47" t="n">
        <v>77.7</v>
      </c>
      <c r="E19" s="48" t="s">
        <v>326</v>
      </c>
      <c r="F19" s="26" t="s">
        <v>351</v>
      </c>
      <c r="G19" s="29" t="s">
        <v>328</v>
      </c>
      <c r="H19" s="30" t="s">
        <v>353</v>
      </c>
    </row>
    <row r="20" customFormat="false" ht="15" hidden="false" customHeight="false" outlineLevel="0" collapsed="false">
      <c r="B20" s="19" t="s">
        <v>175</v>
      </c>
      <c r="C20" s="29" t="s">
        <v>354</v>
      </c>
      <c r="D20" s="47" t="n">
        <v>79.1</v>
      </c>
      <c r="E20" s="48" t="s">
        <v>326</v>
      </c>
      <c r="F20" s="26" t="s">
        <v>351</v>
      </c>
      <c r="G20" s="29" t="s">
        <v>328</v>
      </c>
      <c r="H20" s="30" t="s">
        <v>355</v>
      </c>
    </row>
    <row r="21" customFormat="false" ht="15" hidden="false" customHeight="false" outlineLevel="0" collapsed="false">
      <c r="B21" s="19" t="s">
        <v>84</v>
      </c>
      <c r="C21" s="29" t="s">
        <v>334</v>
      </c>
      <c r="D21" s="48" t="s">
        <v>326</v>
      </c>
      <c r="E21" s="48" t="s">
        <v>326</v>
      </c>
      <c r="F21" s="26" t="s">
        <v>334</v>
      </c>
      <c r="G21" s="32" t="s">
        <v>335</v>
      </c>
      <c r="H21" s="30" t="s">
        <v>356</v>
      </c>
    </row>
    <row r="22" customFormat="false" ht="22.35" hidden="false" customHeight="false" outlineLevel="0" collapsed="false">
      <c r="B22" s="19" t="s">
        <v>357</v>
      </c>
      <c r="C22" s="29" t="s">
        <v>334</v>
      </c>
      <c r="D22" s="48" t="s">
        <v>326</v>
      </c>
      <c r="E22" s="48" t="s">
        <v>326</v>
      </c>
      <c r="F22" s="26" t="s">
        <v>334</v>
      </c>
      <c r="G22" s="32" t="s">
        <v>358</v>
      </c>
      <c r="H22" s="30" t="s">
        <v>359</v>
      </c>
    </row>
    <row r="24" customFormat="false" ht="15" hidden="false" customHeight="false" outlineLevel="0" collapsed="false">
      <c r="B24" s="3" t="s">
        <v>237</v>
      </c>
    </row>
    <row r="25" customFormat="false" ht="15" hidden="false" customHeight="true" outlineLevel="0" collapsed="false">
      <c r="B25" s="7" t="s">
        <v>360</v>
      </c>
      <c r="C25" s="7"/>
      <c r="D25" s="7"/>
      <c r="E25" s="7"/>
      <c r="F25" s="7"/>
      <c r="G25" s="7"/>
      <c r="H25" s="7"/>
    </row>
    <row r="26" customFormat="false" ht="15" hidden="false" customHeight="false" outlineLevel="0" collapsed="false">
      <c r="B26" s="7"/>
      <c r="C26" s="7"/>
      <c r="D26" s="7"/>
      <c r="E26" s="7"/>
      <c r="F26" s="7"/>
      <c r="G26" s="7"/>
      <c r="H26" s="7"/>
    </row>
    <row r="27" customFormat="false" ht="15" hidden="false" customHeight="false" outlineLevel="0" collapsed="false">
      <c r="B27" s="7"/>
      <c r="C27" s="7"/>
      <c r="D27" s="7"/>
      <c r="E27" s="7"/>
      <c r="F27" s="7"/>
      <c r="G27" s="7"/>
      <c r="H27" s="7"/>
    </row>
    <row r="28" customFormat="false" ht="15" hidden="false" customHeight="false" outlineLevel="0" collapsed="false">
      <c r="B28" s="7"/>
      <c r="C28" s="7"/>
      <c r="D28" s="7"/>
      <c r="E28" s="7"/>
      <c r="F28" s="7"/>
      <c r="G28" s="7"/>
      <c r="H28" s="7"/>
    </row>
    <row r="29" customFormat="false" ht="15" hidden="false" customHeight="false" outlineLevel="0" collapsed="false">
      <c r="B29" s="7"/>
      <c r="C29" s="7"/>
      <c r="D29" s="7"/>
      <c r="E29" s="7"/>
      <c r="F29" s="7"/>
      <c r="G29" s="7"/>
      <c r="H29" s="7"/>
    </row>
  </sheetData>
  <mergeCells count="3">
    <mergeCell ref="B2:H2"/>
    <mergeCell ref="B3:H3"/>
    <mergeCell ref="B25:H29"/>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15"/>
    <col collapsed="false" customWidth="true" hidden="false" outlineLevel="0" max="4" min="4" style="0" width="17"/>
    <col collapsed="false" customWidth="true" hidden="false" outlineLevel="0" max="5" min="5" style="0" width="13"/>
    <col collapsed="false" customWidth="true" hidden="false" outlineLevel="0" max="6" min="6" style="0" width="52"/>
  </cols>
  <sheetData>
    <row r="2" customFormat="false" ht="25.5" hidden="false" customHeight="true" outlineLevel="0" collapsed="false">
      <c r="B2" s="12" t="s">
        <v>361</v>
      </c>
      <c r="C2" s="12"/>
      <c r="D2" s="12"/>
      <c r="E2" s="12"/>
      <c r="F2" s="12"/>
    </row>
    <row r="3" customFormat="false" ht="31.5" hidden="false" customHeight="true" outlineLevel="0" collapsed="false">
      <c r="B3" s="13" t="s">
        <v>362</v>
      </c>
      <c r="C3" s="13"/>
      <c r="D3" s="13"/>
      <c r="E3" s="13"/>
      <c r="F3" s="13"/>
    </row>
    <row r="5" customFormat="false" ht="31.5" hidden="false" customHeight="true" outlineLevel="0" collapsed="false">
      <c r="B5" s="18" t="s">
        <v>252</v>
      </c>
      <c r="C5" s="18" t="s">
        <v>363</v>
      </c>
      <c r="D5" s="18" t="s">
        <v>364</v>
      </c>
      <c r="E5" s="18" t="s">
        <v>365</v>
      </c>
      <c r="F5" s="18" t="s">
        <v>259</v>
      </c>
    </row>
    <row r="6" customFormat="false" ht="25.5" hidden="false" customHeight="true" outlineLevel="0" collapsed="false">
      <c r="B6" s="44" t="n">
        <v>2019</v>
      </c>
      <c r="C6" s="49" t="n">
        <v>255.657</v>
      </c>
      <c r="D6" s="50" t="n">
        <f aca="false">C6/$C$6*100</f>
        <v>100</v>
      </c>
      <c r="E6" s="29" t="s">
        <v>82</v>
      </c>
      <c r="F6" s="30" t="s">
        <v>366</v>
      </c>
    </row>
    <row r="7" customFormat="false" ht="25.5" hidden="false" customHeight="true" outlineLevel="0" collapsed="false">
      <c r="B7" s="44" t="n">
        <v>2020</v>
      </c>
      <c r="C7" s="49" t="n">
        <v>258.811</v>
      </c>
      <c r="D7" s="50" t="n">
        <f aca="false">C7/$C$6*100</f>
        <v>101.233684194057</v>
      </c>
      <c r="E7" s="29" t="s">
        <v>82</v>
      </c>
      <c r="F7" s="30" t="s">
        <v>366</v>
      </c>
    </row>
    <row r="8" customFormat="false" ht="25.5" hidden="false" customHeight="true" outlineLevel="0" collapsed="false">
      <c r="B8" s="44" t="n">
        <v>2021</v>
      </c>
      <c r="C8" s="49" t="n">
        <v>270.97</v>
      </c>
      <c r="D8" s="50" t="n">
        <f aca="false">C8/$C$6*100</f>
        <v>105.989665841342</v>
      </c>
      <c r="E8" s="29" t="s">
        <v>82</v>
      </c>
      <c r="F8" s="30" t="s">
        <v>366</v>
      </c>
    </row>
    <row r="9" customFormat="false" ht="25.5" hidden="false" customHeight="true" outlineLevel="0" collapsed="false">
      <c r="B9" s="44" t="n">
        <v>2022</v>
      </c>
      <c r="C9" s="49" t="n">
        <v>292.655</v>
      </c>
      <c r="D9" s="50" t="n">
        <f aca="false">C9/$C$6*100</f>
        <v>114.471733611831</v>
      </c>
      <c r="E9" s="29" t="s">
        <v>82</v>
      </c>
      <c r="F9" s="30" t="s">
        <v>367</v>
      </c>
    </row>
    <row r="10" customFormat="false" ht="25.5" hidden="false" customHeight="true" outlineLevel="0" collapsed="false">
      <c r="B10" s="44" t="n">
        <v>2023</v>
      </c>
      <c r="C10" s="49" t="n">
        <v>304.702</v>
      </c>
      <c r="D10" s="50" t="n">
        <f aca="false">C10/$C$6*100</f>
        <v>119.183906562308</v>
      </c>
      <c r="E10" s="29" t="s">
        <v>82</v>
      </c>
      <c r="F10" s="30" t="s">
        <v>366</v>
      </c>
    </row>
    <row r="11" customFormat="false" ht="25.5" hidden="false" customHeight="true" outlineLevel="0" collapsed="false">
      <c r="B11" s="44" t="n">
        <v>2024</v>
      </c>
      <c r="C11" s="49" t="n">
        <v>313.689</v>
      </c>
      <c r="D11" s="50" t="n">
        <f aca="false">C11/$C$6*100</f>
        <v>122.699163332121</v>
      </c>
      <c r="E11" s="29" t="s">
        <v>82</v>
      </c>
      <c r="F11" s="30" t="s">
        <v>366</v>
      </c>
    </row>
    <row r="12" customFormat="false" ht="39.75" hidden="false" customHeight="true" outlineLevel="0" collapsed="false">
      <c r="B12" s="44" t="n">
        <v>2025</v>
      </c>
      <c r="C12" s="51" t="n">
        <v>323.1</v>
      </c>
      <c r="D12" s="50" t="n">
        <f aca="false">C12/$C$6*100</f>
        <v>126.38026731128</v>
      </c>
      <c r="E12" s="32" t="s">
        <v>368</v>
      </c>
      <c r="F12" s="30" t="s">
        <v>369</v>
      </c>
    </row>
    <row r="13" customFormat="false" ht="39.75" hidden="false" customHeight="true" outlineLevel="0" collapsed="false">
      <c r="B13" s="44" t="n">
        <v>2026</v>
      </c>
      <c r="C13" s="51" t="n">
        <v>333.4</v>
      </c>
      <c r="D13" s="50" t="n">
        <f aca="false">C13/$C$6*100</f>
        <v>130.409102821358</v>
      </c>
      <c r="E13" s="32" t="s">
        <v>368</v>
      </c>
      <c r="F13" s="30" t="s">
        <v>370</v>
      </c>
    </row>
    <row r="14" customFormat="false" ht="15" hidden="false" customHeight="false" outlineLevel="0" collapsed="false">
      <c r="B14" s="44" t="n">
        <v>2018</v>
      </c>
      <c r="C14" s="49" t="n">
        <v>251.107</v>
      </c>
      <c r="D14" s="50" t="n">
        <f aca="false">C14/$C$6*100</f>
        <v>98.22027169215</v>
      </c>
      <c r="E14" s="29" t="s">
        <v>82</v>
      </c>
      <c r="F14" s="30" t="s">
        <v>371</v>
      </c>
    </row>
    <row r="16" customFormat="false" ht="15" hidden="false" customHeight="true" outlineLevel="0" collapsed="false">
      <c r="B16" s="33" t="s">
        <v>372</v>
      </c>
      <c r="C16" s="33"/>
      <c r="D16" s="33"/>
      <c r="E16" s="33"/>
      <c r="F16" s="33"/>
    </row>
    <row r="17" customFormat="false" ht="15" hidden="false" customHeight="false" outlineLevel="0" collapsed="false">
      <c r="B17" s="33"/>
      <c r="C17" s="33"/>
      <c r="D17" s="33"/>
      <c r="E17" s="33"/>
      <c r="F17" s="33"/>
    </row>
    <row r="18" customFormat="false" ht="15" hidden="false" customHeight="false" outlineLevel="0" collapsed="false">
      <c r="B18" s="33"/>
      <c r="C18" s="33"/>
      <c r="D18" s="33"/>
      <c r="E18" s="33"/>
      <c r="F18" s="33"/>
    </row>
  </sheetData>
  <mergeCells count="3">
    <mergeCell ref="B2:F2"/>
    <mergeCell ref="B3:F3"/>
    <mergeCell ref="B16:F18"/>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6"/>
    <col collapsed="false" customWidth="true" hidden="false" outlineLevel="0" max="4" min="4" style="0" width="24"/>
    <col collapsed="false" customWidth="true" hidden="false" outlineLevel="0" max="5" min="5" style="0" width="58"/>
    <col collapsed="false" customWidth="true" hidden="false" outlineLevel="0" max="6" min="6" style="0" width="7"/>
    <col collapsed="false" customWidth="true" hidden="false" outlineLevel="0" max="8" min="8" style="0" width="30"/>
    <col collapsed="false" customWidth="true" hidden="false" outlineLevel="0" max="9" min="9" style="0" width="8"/>
  </cols>
  <sheetData>
    <row r="2" customFormat="false" ht="18.55" hidden="false" customHeight="false" outlineLevel="0" collapsed="false">
      <c r="B2" s="52" t="s">
        <v>373</v>
      </c>
      <c r="H2" s="3" t="s">
        <v>374</v>
      </c>
    </row>
    <row r="3" customFormat="false" ht="15" hidden="false" customHeight="false" outlineLevel="0" collapsed="false">
      <c r="B3" s="17" t="s">
        <v>375</v>
      </c>
      <c r="C3" s="17"/>
      <c r="D3" s="17"/>
      <c r="E3" s="17"/>
      <c r="F3" s="17"/>
      <c r="H3" s="11" t="s">
        <v>376</v>
      </c>
      <c r="I3" s="53" t="n">
        <v>67</v>
      </c>
    </row>
    <row r="4" customFormat="false" ht="15" hidden="false" customHeight="false" outlineLevel="0" collapsed="false">
      <c r="H4" s="11" t="s">
        <v>377</v>
      </c>
      <c r="I4" s="53" t="n">
        <v>67</v>
      </c>
    </row>
    <row r="5" customFormat="false" ht="15" hidden="false" customHeight="false" outlineLevel="0" collapsed="false">
      <c r="H5" s="11" t="s">
        <v>378</v>
      </c>
      <c r="I5" s="53" t="n">
        <v>0</v>
      </c>
    </row>
    <row r="6" customFormat="false" ht="31.5" hidden="false" customHeight="true" outlineLevel="0" collapsed="false">
      <c r="B6" s="18" t="s">
        <v>379</v>
      </c>
      <c r="C6" s="18" t="s">
        <v>380</v>
      </c>
      <c r="D6" s="18" t="s">
        <v>381</v>
      </c>
      <c r="E6" s="18" t="s">
        <v>259</v>
      </c>
      <c r="F6" s="18" t="s">
        <v>382</v>
      </c>
      <c r="H6" s="11" t="s">
        <v>383</v>
      </c>
      <c r="I6" s="54" t="n">
        <v>7</v>
      </c>
    </row>
    <row r="7" customFormat="false" ht="15" hidden="false" customHeight="false" outlineLevel="0" collapsed="false">
      <c r="B7" s="26" t="s">
        <v>383</v>
      </c>
      <c r="C7" s="26" t="s">
        <v>119</v>
      </c>
      <c r="D7" s="26" t="s">
        <v>120</v>
      </c>
      <c r="E7" s="30" t="s">
        <v>384</v>
      </c>
      <c r="F7" s="43" t="n">
        <v>23</v>
      </c>
      <c r="H7" s="11" t="s">
        <v>385</v>
      </c>
      <c r="I7" s="53" t="n">
        <v>0</v>
      </c>
    </row>
    <row r="8" customFormat="false" ht="15" hidden="false" customHeight="false" outlineLevel="0" collapsed="false">
      <c r="B8" s="26" t="s">
        <v>383</v>
      </c>
      <c r="C8" s="26" t="s">
        <v>119</v>
      </c>
      <c r="D8" s="26" t="s">
        <v>120</v>
      </c>
      <c r="E8" s="30" t="s">
        <v>384</v>
      </c>
      <c r="F8" s="43" t="n">
        <v>24</v>
      </c>
      <c r="H8" s="11" t="s">
        <v>386</v>
      </c>
      <c r="I8" s="53" t="n">
        <v>0</v>
      </c>
    </row>
    <row r="9" customFormat="false" ht="15" hidden="false" customHeight="false" outlineLevel="0" collapsed="false">
      <c r="B9" s="26" t="s">
        <v>383</v>
      </c>
      <c r="C9" s="26" t="s">
        <v>141</v>
      </c>
      <c r="D9" s="26" t="s">
        <v>142</v>
      </c>
      <c r="E9" s="30" t="s">
        <v>384</v>
      </c>
      <c r="F9" s="43" t="n">
        <v>33</v>
      </c>
      <c r="H9" s="11" t="s">
        <v>387</v>
      </c>
      <c r="I9" s="53" t="n">
        <v>0</v>
      </c>
    </row>
    <row r="10" customFormat="false" ht="15" hidden="false" customHeight="false" outlineLevel="0" collapsed="false">
      <c r="B10" s="26" t="s">
        <v>383</v>
      </c>
      <c r="C10" s="26" t="s">
        <v>141</v>
      </c>
      <c r="D10" s="26" t="s">
        <v>147</v>
      </c>
      <c r="E10" s="30" t="s">
        <v>384</v>
      </c>
      <c r="F10" s="43" t="n">
        <v>37</v>
      </c>
      <c r="H10" s="11" t="s">
        <v>388</v>
      </c>
      <c r="I10" s="53" t="n">
        <v>0</v>
      </c>
    </row>
    <row r="11" customFormat="false" ht="15" hidden="false" customHeight="false" outlineLevel="0" collapsed="false">
      <c r="B11" s="26" t="s">
        <v>383</v>
      </c>
      <c r="C11" s="26" t="s">
        <v>141</v>
      </c>
      <c r="D11" s="26" t="s">
        <v>147</v>
      </c>
      <c r="E11" s="30" t="s">
        <v>384</v>
      </c>
      <c r="F11" s="43" t="n">
        <v>38</v>
      </c>
      <c r="H11" s="11" t="s">
        <v>389</v>
      </c>
      <c r="I11" s="53" t="n">
        <v>0</v>
      </c>
    </row>
    <row r="12" customFormat="false" ht="15" hidden="false" customHeight="false" outlineLevel="0" collapsed="false">
      <c r="B12" s="26" t="s">
        <v>383</v>
      </c>
      <c r="C12" s="26" t="s">
        <v>175</v>
      </c>
      <c r="D12" s="26" t="s">
        <v>176</v>
      </c>
      <c r="E12" s="30" t="s">
        <v>384</v>
      </c>
      <c r="F12" s="43" t="n">
        <v>57</v>
      </c>
    </row>
    <row r="13" customFormat="false" ht="15" hidden="false" customHeight="false" outlineLevel="0" collapsed="false">
      <c r="B13" s="26" t="s">
        <v>383</v>
      </c>
      <c r="C13" s="26" t="s">
        <v>175</v>
      </c>
      <c r="D13" s="26" t="s">
        <v>109</v>
      </c>
      <c r="E13" s="30" t="s">
        <v>384</v>
      </c>
      <c r="F13" s="43" t="n">
        <v>61</v>
      </c>
    </row>
  </sheetData>
  <mergeCells count="1">
    <mergeCell ref="B3:F3"/>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80"/>
  </cols>
  <sheetData>
    <row r="2" customFormat="false" ht="25.5" hidden="false" customHeight="true" outlineLevel="0" collapsed="false">
      <c r="B2" s="12" t="s">
        <v>390</v>
      </c>
      <c r="C2" s="12"/>
    </row>
    <row r="3" customFormat="false" ht="31.5" hidden="false" customHeight="true" outlineLevel="0" collapsed="false">
      <c r="B3" s="13" t="s">
        <v>391</v>
      </c>
      <c r="C3" s="13"/>
    </row>
    <row r="5" customFormat="false" ht="55.5" hidden="false" customHeight="true" outlineLevel="0" collapsed="false">
      <c r="B5" s="55" t="s">
        <v>392</v>
      </c>
      <c r="C5" s="56" t="s">
        <v>393</v>
      </c>
    </row>
    <row r="6" customFormat="false" ht="55.5" hidden="false" customHeight="true" outlineLevel="0" collapsed="false">
      <c r="B6" s="55" t="s">
        <v>394</v>
      </c>
      <c r="C6" s="56" t="s">
        <v>395</v>
      </c>
    </row>
    <row r="7" customFormat="false" ht="55.5" hidden="false" customHeight="true" outlineLevel="0" collapsed="false">
      <c r="B7" s="55" t="s">
        <v>226</v>
      </c>
      <c r="C7" s="56" t="s">
        <v>396</v>
      </c>
    </row>
    <row r="8" customFormat="false" ht="55.5" hidden="false" customHeight="true" outlineLevel="0" collapsed="false">
      <c r="B8" s="55" t="s">
        <v>397</v>
      </c>
      <c r="C8" s="56" t="s">
        <v>398</v>
      </c>
    </row>
    <row r="9" customFormat="false" ht="55.5" hidden="false" customHeight="true" outlineLevel="0" collapsed="false">
      <c r="B9" s="55" t="s">
        <v>49</v>
      </c>
      <c r="C9" s="56" t="s">
        <v>399</v>
      </c>
    </row>
    <row r="10" customFormat="false" ht="55.5" hidden="false" customHeight="true" outlineLevel="0" collapsed="false">
      <c r="B10" s="55" t="s">
        <v>400</v>
      </c>
      <c r="C10" s="56" t="s">
        <v>401</v>
      </c>
    </row>
    <row r="11" customFormat="false" ht="55.5" hidden="false" customHeight="true" outlineLevel="0" collapsed="false">
      <c r="B11" s="55" t="s">
        <v>402</v>
      </c>
      <c r="C11" s="56" t="s">
        <v>403</v>
      </c>
    </row>
    <row r="12" customFormat="false" ht="55.5" hidden="false" customHeight="true" outlineLevel="0" collapsed="false">
      <c r="B12" s="55" t="s">
        <v>404</v>
      </c>
      <c r="C12" s="56" t="s">
        <v>405</v>
      </c>
    </row>
    <row r="13" customFormat="false" ht="55.5" hidden="false" customHeight="true" outlineLevel="0" collapsed="false">
      <c r="B13" s="55" t="s">
        <v>406</v>
      </c>
      <c r="C13" s="56" t="s">
        <v>407</v>
      </c>
    </row>
    <row r="14" customFormat="false" ht="55.5" hidden="false" customHeight="true" outlineLevel="0" collapsed="false">
      <c r="B14" s="55" t="s">
        <v>408</v>
      </c>
      <c r="C14" s="56" t="s">
        <v>409</v>
      </c>
    </row>
    <row r="15" customFormat="false" ht="55.5" hidden="false" customHeight="true" outlineLevel="0" collapsed="false">
      <c r="B15" s="55" t="s">
        <v>410</v>
      </c>
      <c r="C15" s="56" t="s">
        <v>411</v>
      </c>
    </row>
    <row r="16" customFormat="false" ht="55.5" hidden="false" customHeight="true" outlineLevel="0" collapsed="false">
      <c r="B16" s="55" t="s">
        <v>412</v>
      </c>
      <c r="C16" s="56" t="s">
        <v>413</v>
      </c>
    </row>
    <row r="17" customFormat="false" ht="55.5" hidden="false" customHeight="true" outlineLevel="0" collapsed="false">
      <c r="B17" s="55" t="s">
        <v>412</v>
      </c>
      <c r="C17" s="56" t="s">
        <v>414</v>
      </c>
    </row>
  </sheetData>
  <mergeCells count="2">
    <mergeCell ref="B2:C2"/>
    <mergeCell ref="B3:C3"/>
  </mergeCells>
  <printOptions headings="false" gridLines="false" gridLinesSet="true" horizontalCentered="tru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&amp;R&amp;8 &amp;A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2026-07-31T00:26:57Z</dcterms:created>
  <dc:creator>openpyxl</dc:creator>
  <dc:description/>
  <dc:language>en-US</dc:language>
  <cp:lastModifiedBy/>
  <dcterms:modified xsi:type="dcterms:W3CDTF">2026-07-31T00:27:01Z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